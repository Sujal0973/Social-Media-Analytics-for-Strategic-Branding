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ujal\OneDrive\Documents\Internshala\Excel\Excel Project\"/>
    </mc:Choice>
  </mc:AlternateContent>
  <xr:revisionPtr revIDLastSave="0" documentId="13_ncr:1_{E6AAE477-75CA-4A25-8EAF-D99D9DD2A0DF}" xr6:coauthVersionLast="47" xr6:coauthVersionMax="47" xr10:uidLastSave="{00000000-0000-0000-0000-000000000000}"/>
  <bookViews>
    <workbookView xWindow="-108" yWindow="-108" windowWidth="23256" windowHeight="13176" tabRatio="964" activeTab="4" xr2:uid="{00000000-000D-0000-FFFF-FFFF00000000}"/>
  </bookViews>
  <sheets>
    <sheet name="Posts" sheetId="1" r:id="rId1"/>
    <sheet name="Engagement Summary" sheetId="2" r:id="rId2"/>
    <sheet name="Week_Follower_Gain" sheetId="15" r:id="rId3"/>
    <sheet name="Moving_Average" sheetId="16" r:id="rId4"/>
    <sheet name="Task 6" sheetId="17" r:id="rId5"/>
  </sheets>
  <externalReferences>
    <externalReference r:id="rId6"/>
  </externalReferences>
  <calcPr calcId="191029"/>
  <pivotCaches>
    <pivotCache cacheId="0"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01" i="1" l="1"/>
  <c r="Q300" i="1"/>
  <c r="Q299" i="1"/>
  <c r="Q298" i="1"/>
  <c r="Q297" i="1"/>
  <c r="Q296" i="1"/>
  <c r="Q295" i="1"/>
  <c r="Q294" i="1"/>
  <c r="Q293" i="1"/>
  <c r="Q292" i="1"/>
  <c r="Q291" i="1"/>
  <c r="Q290" i="1"/>
  <c r="Q289" i="1"/>
  <c r="Q288" i="1"/>
  <c r="Q287" i="1"/>
  <c r="Q286" i="1"/>
  <c r="Q285" i="1"/>
  <c r="Q284" i="1"/>
  <c r="Q283" i="1"/>
  <c r="Q282" i="1"/>
  <c r="Q281" i="1"/>
  <c r="Q280" i="1"/>
  <c r="Q279" i="1"/>
  <c r="Q278" i="1"/>
  <c r="Q277" i="1"/>
  <c r="Q276" i="1"/>
  <c r="Q275" i="1"/>
  <c r="Q274" i="1"/>
  <c r="Q273" i="1"/>
  <c r="Q272" i="1"/>
  <c r="Q271" i="1"/>
  <c r="Q270" i="1"/>
  <c r="Q269" i="1"/>
  <c r="Q268" i="1"/>
  <c r="Q267" i="1"/>
  <c r="Q266" i="1"/>
  <c r="Q265" i="1"/>
  <c r="Q264" i="1"/>
  <c r="Q263" i="1"/>
  <c r="Q262" i="1"/>
  <c r="Q261" i="1"/>
  <c r="Q260" i="1"/>
  <c r="Q259" i="1"/>
  <c r="Q258" i="1"/>
  <c r="Q257" i="1"/>
  <c r="Q256" i="1"/>
  <c r="Q255" i="1"/>
  <c r="Q254" i="1"/>
  <c r="Q253" i="1"/>
  <c r="Q252" i="1"/>
  <c r="Q251" i="1"/>
  <c r="Q250" i="1"/>
  <c r="Q249" i="1"/>
  <c r="Q248" i="1"/>
  <c r="Q247" i="1"/>
  <c r="Q246" i="1"/>
  <c r="Q245" i="1"/>
  <c r="Q244" i="1"/>
  <c r="Q243" i="1"/>
  <c r="Q242" i="1"/>
  <c r="Q241" i="1"/>
  <c r="Q240" i="1"/>
  <c r="Q239" i="1"/>
  <c r="Q238" i="1"/>
  <c r="Q237" i="1"/>
  <c r="Q236" i="1"/>
  <c r="Q235" i="1"/>
  <c r="Q234" i="1"/>
  <c r="Q233" i="1"/>
  <c r="Q232" i="1"/>
  <c r="Q231" i="1"/>
  <c r="Q230" i="1"/>
  <c r="Q229" i="1"/>
  <c r="Q228" i="1"/>
  <c r="Q227" i="1"/>
  <c r="Q226" i="1"/>
  <c r="Q225" i="1"/>
  <c r="Q224" i="1"/>
  <c r="Q223" i="1"/>
  <c r="Q222" i="1"/>
  <c r="Q221" i="1"/>
  <c r="Q220" i="1"/>
  <c r="Q219" i="1"/>
  <c r="Q218" i="1"/>
  <c r="Q217" i="1"/>
  <c r="Q216" i="1"/>
  <c r="Q215" i="1"/>
  <c r="Q214" i="1"/>
  <c r="Q213" i="1"/>
  <c r="Q212" i="1"/>
  <c r="Q211" i="1"/>
  <c r="Q210" i="1"/>
  <c r="Q209" i="1"/>
  <c r="Q208" i="1"/>
  <c r="Q207" i="1"/>
  <c r="Q206" i="1"/>
  <c r="Q205" i="1"/>
  <c r="Q204" i="1"/>
  <c r="Q203" i="1"/>
  <c r="Q202" i="1"/>
  <c r="Q201" i="1"/>
  <c r="Q200" i="1"/>
  <c r="Q199" i="1"/>
  <c r="Q198" i="1"/>
  <c r="Q197" i="1"/>
  <c r="Q196" i="1"/>
  <c r="Q195" i="1"/>
  <c r="Q194" i="1"/>
  <c r="Q193" i="1"/>
  <c r="Q192" i="1"/>
  <c r="Q191" i="1"/>
  <c r="Q190" i="1"/>
  <c r="Q189" i="1"/>
  <c r="Q188" i="1"/>
  <c r="Q187" i="1"/>
  <c r="Q186" i="1"/>
  <c r="Q185" i="1"/>
  <c r="Q184" i="1"/>
  <c r="Q183" i="1"/>
  <c r="Q182" i="1"/>
  <c r="Q181" i="1"/>
  <c r="Q180" i="1"/>
  <c r="Q179" i="1"/>
  <c r="Q178" i="1"/>
  <c r="Q177" i="1"/>
  <c r="Q176" i="1"/>
  <c r="Q175" i="1"/>
  <c r="Q174" i="1"/>
  <c r="Q173" i="1"/>
  <c r="Q172" i="1"/>
  <c r="Q171" i="1"/>
  <c r="Q170" i="1"/>
  <c r="Q169" i="1"/>
  <c r="Q168" i="1"/>
  <c r="Q167" i="1"/>
  <c r="Q166" i="1"/>
  <c r="Q165" i="1"/>
  <c r="Q164" i="1"/>
  <c r="Q163" i="1"/>
  <c r="Q162" i="1"/>
  <c r="Q161" i="1"/>
  <c r="Q160" i="1"/>
  <c r="Q159" i="1"/>
  <c r="Q158" i="1"/>
  <c r="Q157" i="1"/>
  <c r="Q156" i="1"/>
  <c r="Q155" i="1"/>
  <c r="Q154" i="1"/>
  <c r="Q153" i="1"/>
  <c r="Q152" i="1"/>
  <c r="Q151" i="1"/>
  <c r="Q150" i="1"/>
  <c r="Q149" i="1"/>
  <c r="Q148" i="1"/>
  <c r="Q147" i="1"/>
  <c r="Q146" i="1"/>
  <c r="Q145" i="1"/>
  <c r="Q144" i="1"/>
  <c r="Q143" i="1"/>
  <c r="Q142" i="1"/>
  <c r="Q141" i="1"/>
  <c r="Q140" i="1"/>
  <c r="Q139" i="1"/>
  <c r="Q138" i="1"/>
  <c r="Q137" i="1"/>
  <c r="Q136" i="1"/>
  <c r="Q135" i="1"/>
  <c r="Q134" i="1"/>
  <c r="Q133" i="1"/>
  <c r="Q132" i="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Q105" i="1"/>
  <c r="Q104" i="1"/>
  <c r="Q103" i="1"/>
  <c r="Q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Q3" i="1"/>
  <c r="Q2" i="1"/>
  <c r="P301" i="1"/>
  <c r="P300" i="1"/>
  <c r="P299" i="1"/>
  <c r="P298" i="1"/>
  <c r="P297" i="1"/>
  <c r="P296" i="1"/>
  <c r="P295" i="1"/>
  <c r="P294" i="1"/>
  <c r="P293" i="1"/>
  <c r="P292" i="1"/>
  <c r="P291" i="1"/>
  <c r="P290" i="1"/>
  <c r="P289" i="1"/>
  <c r="P288" i="1"/>
  <c r="P287" i="1"/>
  <c r="P286" i="1"/>
  <c r="P285" i="1"/>
  <c r="P284" i="1"/>
  <c r="P283" i="1"/>
  <c r="P282" i="1"/>
  <c r="P281" i="1"/>
  <c r="P280" i="1"/>
  <c r="P279" i="1"/>
  <c r="P278" i="1"/>
  <c r="P277" i="1"/>
  <c r="P276" i="1"/>
  <c r="P275" i="1"/>
  <c r="P274" i="1"/>
  <c r="P273" i="1"/>
  <c r="P272" i="1"/>
  <c r="P271" i="1"/>
  <c r="P270" i="1"/>
  <c r="P269" i="1"/>
  <c r="P268" i="1"/>
  <c r="P267" i="1"/>
  <c r="P266" i="1"/>
  <c r="P265" i="1"/>
  <c r="P264" i="1"/>
  <c r="P263" i="1"/>
  <c r="P262" i="1"/>
  <c r="P261" i="1"/>
  <c r="P260" i="1"/>
  <c r="P259" i="1"/>
  <c r="P258" i="1"/>
  <c r="P257" i="1"/>
  <c r="P256" i="1"/>
  <c r="P255" i="1"/>
  <c r="P254" i="1"/>
  <c r="P253" i="1"/>
  <c r="P252" i="1"/>
  <c r="P251" i="1"/>
  <c r="P250" i="1"/>
  <c r="P249" i="1"/>
  <c r="P248" i="1"/>
  <c r="P247" i="1"/>
  <c r="P246" i="1"/>
  <c r="P245" i="1"/>
  <c r="P244" i="1"/>
  <c r="P243" i="1"/>
  <c r="P242" i="1"/>
  <c r="P241" i="1"/>
  <c r="P240" i="1"/>
  <c r="P239" i="1"/>
  <c r="P238" i="1"/>
  <c r="P237" i="1"/>
  <c r="P236" i="1"/>
  <c r="P235" i="1"/>
  <c r="P234" i="1"/>
  <c r="P233" i="1"/>
  <c r="P232" i="1"/>
  <c r="P231" i="1"/>
  <c r="P230" i="1"/>
  <c r="P229" i="1"/>
  <c r="P228" i="1"/>
  <c r="P227" i="1"/>
  <c r="P226" i="1"/>
  <c r="P225" i="1"/>
  <c r="P224" i="1"/>
  <c r="P223" i="1"/>
  <c r="P222" i="1"/>
  <c r="P221" i="1"/>
  <c r="P220" i="1"/>
  <c r="P219" i="1"/>
  <c r="P218" i="1"/>
  <c r="P217" i="1"/>
  <c r="P216" i="1"/>
  <c r="P215" i="1"/>
  <c r="P214" i="1"/>
  <c r="P213" i="1"/>
  <c r="P212" i="1"/>
  <c r="P211" i="1"/>
  <c r="P210" i="1"/>
  <c r="P209" i="1"/>
  <c r="P208" i="1"/>
  <c r="P207" i="1"/>
  <c r="P206" i="1"/>
  <c r="P205" i="1"/>
  <c r="P204" i="1"/>
  <c r="P203" i="1"/>
  <c r="P202" i="1"/>
  <c r="P201" i="1"/>
  <c r="P200" i="1"/>
  <c r="P199" i="1"/>
  <c r="P198" i="1"/>
  <c r="P197" i="1"/>
  <c r="P196" i="1"/>
  <c r="P195" i="1"/>
  <c r="P194" i="1"/>
  <c r="P193" i="1"/>
  <c r="P192" i="1"/>
  <c r="P191" i="1"/>
  <c r="P190" i="1"/>
  <c r="P189" i="1"/>
  <c r="P188" i="1"/>
  <c r="P187" i="1"/>
  <c r="P186" i="1"/>
  <c r="P185" i="1"/>
  <c r="P184" i="1"/>
  <c r="P183" i="1"/>
  <c r="P182" i="1"/>
  <c r="P181" i="1"/>
  <c r="P180" i="1"/>
  <c r="P179" i="1"/>
  <c r="P178" i="1"/>
  <c r="P177" i="1"/>
  <c r="P176" i="1"/>
  <c r="P175" i="1"/>
  <c r="P174" i="1"/>
  <c r="P173" i="1"/>
  <c r="P172" i="1"/>
  <c r="P171" i="1"/>
  <c r="P170" i="1"/>
  <c r="P169" i="1"/>
  <c r="P168" i="1"/>
  <c r="P167" i="1"/>
  <c r="P166" i="1"/>
  <c r="P165" i="1"/>
  <c r="P164" i="1"/>
  <c r="P163" i="1"/>
  <c r="P162" i="1"/>
  <c r="P161" i="1"/>
  <c r="P160" i="1"/>
  <c r="P159" i="1"/>
  <c r="P158" i="1"/>
  <c r="P157" i="1"/>
  <c r="P156" i="1"/>
  <c r="P155" i="1"/>
  <c r="P154" i="1"/>
  <c r="P153" i="1"/>
  <c r="P152" i="1"/>
  <c r="P151" i="1"/>
  <c r="P150" i="1"/>
  <c r="P149" i="1"/>
  <c r="P148" i="1"/>
  <c r="P147" i="1"/>
  <c r="P146" i="1"/>
  <c r="P145" i="1"/>
  <c r="P144" i="1"/>
  <c r="P143" i="1"/>
  <c r="P142" i="1"/>
  <c r="P141" i="1"/>
  <c r="P140" i="1"/>
  <c r="P139" i="1"/>
  <c r="P138" i="1"/>
  <c r="P137" i="1"/>
  <c r="P136" i="1"/>
  <c r="P135" i="1"/>
  <c r="P134" i="1"/>
  <c r="P133" i="1"/>
  <c r="P132" i="1"/>
  <c r="P131" i="1"/>
  <c r="P130" i="1"/>
  <c r="P129" i="1"/>
  <c r="P128" i="1"/>
  <c r="P127" i="1"/>
  <c r="P126" i="1"/>
  <c r="P125" i="1"/>
  <c r="P124" i="1"/>
  <c r="P123" i="1"/>
  <c r="P122" i="1"/>
  <c r="P121" i="1"/>
  <c r="P120" i="1"/>
  <c r="P119" i="1"/>
  <c r="P118" i="1"/>
  <c r="P117" i="1"/>
  <c r="P116" i="1"/>
  <c r="P115" i="1"/>
  <c r="P114" i="1"/>
  <c r="P113" i="1"/>
  <c r="P112" i="1"/>
  <c r="P111" i="1"/>
  <c r="P110" i="1"/>
  <c r="P109" i="1"/>
  <c r="P108" i="1"/>
  <c r="P107" i="1"/>
  <c r="P106" i="1"/>
  <c r="P105" i="1"/>
  <c r="P104" i="1"/>
  <c r="P103" i="1"/>
  <c r="P102" i="1"/>
  <c r="P101" i="1"/>
  <c r="P100" i="1"/>
  <c r="P99" i="1"/>
  <c r="P98" i="1"/>
  <c r="P97" i="1"/>
  <c r="P96" i="1"/>
  <c r="P95" i="1"/>
  <c r="P94" i="1"/>
  <c r="P93" i="1"/>
  <c r="P92" i="1"/>
  <c r="P91" i="1"/>
  <c r="P90" i="1"/>
  <c r="P89" i="1"/>
  <c r="P88" i="1"/>
  <c r="P87" i="1"/>
  <c r="P86" i="1"/>
  <c r="P85" i="1"/>
  <c r="P84" i="1"/>
  <c r="P83" i="1"/>
  <c r="P82" i="1"/>
  <c r="P81" i="1"/>
  <c r="P80" i="1"/>
  <c r="P79" i="1"/>
  <c r="P78" i="1"/>
  <c r="P77" i="1"/>
  <c r="P76" i="1"/>
  <c r="P75" i="1"/>
  <c r="P74" i="1"/>
  <c r="P73" i="1"/>
  <c r="P72" i="1"/>
  <c r="P71" i="1"/>
  <c r="P70" i="1"/>
  <c r="P69" i="1"/>
  <c r="P68" i="1"/>
  <c r="P67" i="1"/>
  <c r="P66" i="1"/>
  <c r="P65" i="1"/>
  <c r="P64" i="1"/>
  <c r="P63" i="1"/>
  <c r="P62" i="1"/>
  <c r="P61" i="1"/>
  <c r="P60" i="1"/>
  <c r="P59" i="1"/>
  <c r="P58" i="1"/>
  <c r="P57" i="1"/>
  <c r="P56" i="1"/>
  <c r="P55" i="1"/>
  <c r="P54" i="1"/>
  <c r="P53" i="1"/>
  <c r="P52" i="1"/>
  <c r="P51" i="1"/>
  <c r="P50" i="1"/>
  <c r="P49" i="1"/>
  <c r="P48" i="1"/>
  <c r="P47" i="1"/>
  <c r="P46" i="1"/>
  <c r="P45" i="1"/>
  <c r="P44" i="1"/>
  <c r="P43" i="1"/>
  <c r="P42" i="1"/>
  <c r="P41" i="1"/>
  <c r="P40" i="1"/>
  <c r="P39" i="1"/>
  <c r="P38" i="1"/>
  <c r="P37" i="1"/>
  <c r="P36" i="1"/>
  <c r="P35" i="1"/>
  <c r="P34" i="1"/>
  <c r="P33" i="1"/>
  <c r="P32" i="1"/>
  <c r="P31" i="1"/>
  <c r="P30" i="1"/>
  <c r="P29" i="1"/>
  <c r="P28" i="1"/>
  <c r="P27" i="1"/>
  <c r="P26" i="1"/>
  <c r="P25" i="1"/>
  <c r="P24" i="1"/>
  <c r="P23" i="1"/>
  <c r="P22" i="1"/>
  <c r="P21" i="1"/>
  <c r="P20" i="1"/>
  <c r="P19" i="1"/>
  <c r="P18" i="1"/>
  <c r="P17" i="1"/>
  <c r="P16" i="1"/>
  <c r="P15" i="1"/>
  <c r="P14" i="1"/>
  <c r="P13" i="1"/>
  <c r="P12" i="1"/>
  <c r="P11" i="1"/>
  <c r="P10" i="1"/>
  <c r="P9" i="1"/>
  <c r="P8" i="1"/>
  <c r="P7" i="1"/>
  <c r="P6" i="1"/>
  <c r="P5" i="1"/>
  <c r="P4" i="1"/>
  <c r="P3" i="1"/>
  <c r="P2" i="1"/>
  <c r="I2" i="2" l="1"/>
  <c r="C3"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4" i="16"/>
  <c r="E6" i="15"/>
  <c r="D6" i="15" s="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 i="2"/>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2" i="1"/>
  <c r="R276" i="1" l="1"/>
  <c r="R180" i="1"/>
  <c r="R36" i="1"/>
  <c r="R258" i="1"/>
  <c r="R222" i="1"/>
  <c r="R186" i="1"/>
  <c r="R126" i="1"/>
  <c r="R90" i="1"/>
  <c r="R66" i="1"/>
  <c r="R42" i="1"/>
  <c r="R268" i="1"/>
  <c r="R291" i="1"/>
  <c r="R279" i="1"/>
  <c r="R267" i="1"/>
  <c r="R255" i="1"/>
  <c r="R231" i="1"/>
  <c r="R219" i="1"/>
  <c r="R195" i="1"/>
  <c r="R171" i="1"/>
  <c r="R147" i="1"/>
  <c r="R123" i="1"/>
  <c r="R99" i="1"/>
  <c r="R2" i="1"/>
  <c r="R290" i="1"/>
  <c r="R278" i="1"/>
  <c r="R266" i="1"/>
  <c r="R254" i="1"/>
  <c r="R242" i="1"/>
  <c r="R230" i="1"/>
  <c r="R218" i="1"/>
  <c r="R206" i="1"/>
  <c r="R194" i="1"/>
  <c r="R182" i="1"/>
  <c r="R170" i="1"/>
  <c r="R158" i="1"/>
  <c r="R146" i="1"/>
  <c r="R134" i="1"/>
  <c r="R122" i="1"/>
  <c r="R110" i="1"/>
  <c r="R98" i="1"/>
  <c r="R86" i="1"/>
  <c r="R74" i="1"/>
  <c r="R62" i="1"/>
  <c r="R50" i="1"/>
  <c r="R38" i="1"/>
  <c r="R26" i="1"/>
  <c r="R14" i="1"/>
  <c r="R252" i="1"/>
  <c r="R168" i="1"/>
  <c r="R48" i="1"/>
  <c r="R270" i="1"/>
  <c r="R234" i="1"/>
  <c r="R174" i="1"/>
  <c r="R138" i="1"/>
  <c r="R102" i="1"/>
  <c r="R78" i="1"/>
  <c r="R54" i="1"/>
  <c r="R30" i="1"/>
  <c r="R280" i="1"/>
  <c r="R301" i="1"/>
  <c r="R289" i="1"/>
  <c r="R277" i="1"/>
  <c r="R265" i="1"/>
  <c r="R253" i="1"/>
  <c r="R241" i="1"/>
  <c r="R229" i="1"/>
  <c r="R217" i="1"/>
  <c r="R205" i="1"/>
  <c r="R193" i="1"/>
  <c r="R181" i="1"/>
  <c r="R169" i="1"/>
  <c r="R157" i="1"/>
  <c r="R145" i="1"/>
  <c r="R133" i="1"/>
  <c r="R121" i="1"/>
  <c r="R109" i="1"/>
  <c r="R97" i="1"/>
  <c r="R85" i="1"/>
  <c r="R73" i="1"/>
  <c r="R61" i="1"/>
  <c r="R49" i="1"/>
  <c r="R37" i="1"/>
  <c r="R25" i="1"/>
  <c r="R13" i="1"/>
  <c r="R12" i="1"/>
  <c r="R11" i="1"/>
  <c r="R240" i="1"/>
  <c r="R144" i="1"/>
  <c r="R60" i="1"/>
  <c r="R275" i="1"/>
  <c r="R239" i="1"/>
  <c r="R203" i="1"/>
  <c r="R179" i="1"/>
  <c r="R143" i="1"/>
  <c r="R107" i="1"/>
  <c r="R71" i="1"/>
  <c r="R59" i="1"/>
  <c r="R35" i="1"/>
  <c r="R298" i="1"/>
  <c r="R286" i="1"/>
  <c r="R274" i="1"/>
  <c r="R262" i="1"/>
  <c r="R250" i="1"/>
  <c r="R238" i="1"/>
  <c r="R226" i="1"/>
  <c r="R214" i="1"/>
  <c r="R202" i="1"/>
  <c r="R190" i="1"/>
  <c r="R178" i="1"/>
  <c r="R166" i="1"/>
  <c r="R154" i="1"/>
  <c r="R142" i="1"/>
  <c r="R130" i="1"/>
  <c r="R118" i="1"/>
  <c r="R106" i="1"/>
  <c r="R94" i="1"/>
  <c r="R82" i="1"/>
  <c r="R70" i="1"/>
  <c r="R58" i="1"/>
  <c r="R46" i="1"/>
  <c r="R34" i="1"/>
  <c r="R22" i="1"/>
  <c r="R10" i="1"/>
  <c r="R228" i="1"/>
  <c r="R132" i="1"/>
  <c r="R24" i="1"/>
  <c r="R299" i="1"/>
  <c r="R263" i="1"/>
  <c r="R227" i="1"/>
  <c r="R191" i="1"/>
  <c r="R155" i="1"/>
  <c r="R119" i="1"/>
  <c r="R83" i="1"/>
  <c r="R47" i="1"/>
  <c r="R297" i="1"/>
  <c r="R285" i="1"/>
  <c r="R273" i="1"/>
  <c r="R261" i="1"/>
  <c r="R249" i="1"/>
  <c r="R237" i="1"/>
  <c r="R225" i="1"/>
  <c r="R213" i="1"/>
  <c r="R201" i="1"/>
  <c r="R189" i="1"/>
  <c r="R177" i="1"/>
  <c r="R165" i="1"/>
  <c r="R153" i="1"/>
  <c r="R141" i="1"/>
  <c r="R129" i="1"/>
  <c r="R117" i="1"/>
  <c r="R105" i="1"/>
  <c r="R93" i="1"/>
  <c r="R81" i="1"/>
  <c r="R69" i="1"/>
  <c r="R57" i="1"/>
  <c r="R45" i="1"/>
  <c r="R33" i="1"/>
  <c r="R21" i="1"/>
  <c r="R9" i="1"/>
  <c r="R300" i="1"/>
  <c r="R216" i="1"/>
  <c r="R72" i="1"/>
  <c r="R287" i="1"/>
  <c r="R251" i="1"/>
  <c r="R215" i="1"/>
  <c r="R167" i="1"/>
  <c r="R131" i="1"/>
  <c r="R95" i="1"/>
  <c r="R23" i="1"/>
  <c r="R296" i="1"/>
  <c r="R284" i="1"/>
  <c r="R272" i="1"/>
  <c r="R260" i="1"/>
  <c r="R248" i="1"/>
  <c r="R236" i="1"/>
  <c r="R224" i="1"/>
  <c r="R212" i="1"/>
  <c r="R200" i="1"/>
  <c r="R188" i="1"/>
  <c r="R176" i="1"/>
  <c r="R164" i="1"/>
  <c r="R152" i="1"/>
  <c r="R140" i="1"/>
  <c r="R128" i="1"/>
  <c r="R116" i="1"/>
  <c r="R104" i="1"/>
  <c r="R92" i="1"/>
  <c r="R80" i="1"/>
  <c r="R68" i="1"/>
  <c r="R56" i="1"/>
  <c r="R44" i="1"/>
  <c r="R32" i="1"/>
  <c r="R20" i="1"/>
  <c r="R8" i="1"/>
  <c r="R120" i="1"/>
  <c r="R295" i="1"/>
  <c r="R283" i="1"/>
  <c r="R271" i="1"/>
  <c r="R259" i="1"/>
  <c r="R247" i="1"/>
  <c r="R235" i="1"/>
  <c r="R223" i="1"/>
  <c r="R211" i="1"/>
  <c r="R199" i="1"/>
  <c r="R187" i="1"/>
  <c r="R175" i="1"/>
  <c r="R163" i="1"/>
  <c r="R151" i="1"/>
  <c r="R139" i="1"/>
  <c r="R127" i="1"/>
  <c r="R115" i="1"/>
  <c r="R103" i="1"/>
  <c r="R91" i="1"/>
  <c r="R79" i="1"/>
  <c r="R67" i="1"/>
  <c r="R55" i="1"/>
  <c r="R43" i="1"/>
  <c r="R31" i="1"/>
  <c r="R19" i="1"/>
  <c r="R7" i="1"/>
  <c r="R156" i="1"/>
  <c r="R6" i="1"/>
  <c r="R264" i="1"/>
  <c r="R108" i="1"/>
  <c r="R294" i="1"/>
  <c r="R246" i="1"/>
  <c r="R210" i="1"/>
  <c r="R162" i="1"/>
  <c r="R150" i="1"/>
  <c r="R114" i="1"/>
  <c r="R18" i="1"/>
  <c r="R293" i="1"/>
  <c r="R281" i="1"/>
  <c r="R269" i="1"/>
  <c r="R257" i="1"/>
  <c r="R245" i="1"/>
  <c r="R233" i="1"/>
  <c r="R221" i="1"/>
  <c r="R209" i="1"/>
  <c r="R197" i="1"/>
  <c r="R185" i="1"/>
  <c r="R173" i="1"/>
  <c r="R161" i="1"/>
  <c r="R149" i="1"/>
  <c r="R137" i="1"/>
  <c r="R125" i="1"/>
  <c r="R113" i="1"/>
  <c r="R101" i="1"/>
  <c r="R89" i="1"/>
  <c r="R77" i="1"/>
  <c r="R65" i="1"/>
  <c r="R53" i="1"/>
  <c r="R41" i="1"/>
  <c r="R29" i="1"/>
  <c r="R17" i="1"/>
  <c r="R5" i="1"/>
  <c r="R288" i="1"/>
  <c r="R192" i="1"/>
  <c r="R96" i="1"/>
  <c r="R282" i="1"/>
  <c r="R198" i="1"/>
  <c r="R244" i="1"/>
  <c r="R232" i="1"/>
  <c r="R220" i="1"/>
  <c r="R208" i="1"/>
  <c r="R196" i="1"/>
  <c r="R184" i="1"/>
  <c r="R172" i="1"/>
  <c r="R160" i="1"/>
  <c r="R148" i="1"/>
  <c r="R136" i="1"/>
  <c r="R124" i="1"/>
  <c r="R112" i="1"/>
  <c r="R100" i="1"/>
  <c r="R88" i="1"/>
  <c r="R76" i="1"/>
  <c r="R64" i="1"/>
  <c r="R52" i="1"/>
  <c r="R40" i="1"/>
  <c r="R28" i="1"/>
  <c r="R16" i="1"/>
  <c r="R4" i="1"/>
  <c r="R204" i="1"/>
  <c r="R84" i="1"/>
  <c r="R292" i="1"/>
  <c r="R256" i="1"/>
  <c r="R243" i="1"/>
  <c r="R207" i="1"/>
  <c r="R183" i="1"/>
  <c r="R159" i="1"/>
  <c r="R135" i="1"/>
  <c r="R111" i="1"/>
  <c r="R87" i="1"/>
  <c r="R75" i="1"/>
  <c r="R63" i="1"/>
  <c r="R51" i="1"/>
  <c r="R39" i="1"/>
  <c r="R27" i="1"/>
  <c r="R15" i="1"/>
  <c r="R3" i="1"/>
</calcChain>
</file>

<file path=xl/sharedStrings.xml><?xml version="1.0" encoding="utf-8"?>
<sst xmlns="http://schemas.openxmlformats.org/spreadsheetml/2006/main" count="2220" uniqueCount="356">
  <si>
    <t>Post ID</t>
  </si>
  <si>
    <t>Platform</t>
  </si>
  <si>
    <t>Date</t>
  </si>
  <si>
    <t>Content Type</t>
  </si>
  <si>
    <t>Post Text</t>
  </si>
  <si>
    <t>Likes</t>
  </si>
  <si>
    <t>Shares</t>
  </si>
  <si>
    <t>Comments</t>
  </si>
  <si>
    <t>Impressions</t>
  </si>
  <si>
    <t>Reach</t>
  </si>
  <si>
    <t>Clicks</t>
  </si>
  <si>
    <t>Campaign_Name</t>
  </si>
  <si>
    <t>SP001</t>
  </si>
  <si>
    <t>Instagram</t>
  </si>
  <si>
    <t>Text</t>
  </si>
  <si>
    <t>Discover fresh beats on Spotify!</t>
  </si>
  <si>
    <t>ChillVibes</t>
  </si>
  <si>
    <t>SP002</t>
  </si>
  <si>
    <t>Explore the latest podcasts now.</t>
  </si>
  <si>
    <t>#DiscoverWeekly</t>
  </si>
  <si>
    <t>IndieWave</t>
  </si>
  <si>
    <t>SP003</t>
  </si>
  <si>
    <t>Twitter</t>
  </si>
  <si>
    <t>Story</t>
  </si>
  <si>
    <t>New music just dropped. Hit play!</t>
  </si>
  <si>
    <t>SP004</t>
  </si>
  <si>
    <t>SP005</t>
  </si>
  <si>
    <t>YouTube</t>
  </si>
  <si>
    <t>SP006</t>
  </si>
  <si>
    <t>SP007</t>
  </si>
  <si>
    <t>Get into the groove with our new drop!</t>
  </si>
  <si>
    <t>SP008</t>
  </si>
  <si>
    <t>SP009</t>
  </si>
  <si>
    <t>Top trending tracks updated daily!</t>
  </si>
  <si>
    <t>#NowPlaying</t>
  </si>
  <si>
    <t>SP010</t>
  </si>
  <si>
    <t>SP011</t>
  </si>
  <si>
    <t>#SoundtrackOfLife</t>
  </si>
  <si>
    <t>SP012</t>
  </si>
  <si>
    <t>SP013</t>
  </si>
  <si>
    <t>SP014</t>
  </si>
  <si>
    <t>SP015</t>
  </si>
  <si>
    <t>Your weekend playlist is waiting.</t>
  </si>
  <si>
    <t>SP016</t>
  </si>
  <si>
    <t>SP017</t>
  </si>
  <si>
    <t>SP018</t>
  </si>
  <si>
    <t>Wrapped2024</t>
  </si>
  <si>
    <t>SP019</t>
  </si>
  <si>
    <t>Reel</t>
  </si>
  <si>
    <t>SummerBeats</t>
  </si>
  <si>
    <t>SP020</t>
  </si>
  <si>
    <t>SP021</t>
  </si>
  <si>
    <t>SP022</t>
  </si>
  <si>
    <t>SP023</t>
  </si>
  <si>
    <t>SP024</t>
  </si>
  <si>
    <t>SP025</t>
  </si>
  <si>
    <t>SP026</t>
  </si>
  <si>
    <t>SP027</t>
  </si>
  <si>
    <t>SP028</t>
  </si>
  <si>
    <t>SP029</t>
  </si>
  <si>
    <t>SP030</t>
  </si>
  <si>
    <t>SP031</t>
  </si>
  <si>
    <t>SP032</t>
  </si>
  <si>
    <t>SP033</t>
  </si>
  <si>
    <t>SP034</t>
  </si>
  <si>
    <t>SP035</t>
  </si>
  <si>
    <t>SP036</t>
  </si>
  <si>
    <t>SP037</t>
  </si>
  <si>
    <t>SP038</t>
  </si>
  <si>
    <t>SP039</t>
  </si>
  <si>
    <t>SP040</t>
  </si>
  <si>
    <t>SP041</t>
  </si>
  <si>
    <t>SP042</t>
  </si>
  <si>
    <t>SP043</t>
  </si>
  <si>
    <t>SP044</t>
  </si>
  <si>
    <t>SP045</t>
  </si>
  <si>
    <t>SP046</t>
  </si>
  <si>
    <t>SP047</t>
  </si>
  <si>
    <t>SP048</t>
  </si>
  <si>
    <t>SP049</t>
  </si>
  <si>
    <t>SP050</t>
  </si>
  <si>
    <t>SP051</t>
  </si>
  <si>
    <t>SP052</t>
  </si>
  <si>
    <t>SP053</t>
  </si>
  <si>
    <t>SP054</t>
  </si>
  <si>
    <t>SP055</t>
  </si>
  <si>
    <t>SP056</t>
  </si>
  <si>
    <t>SP057</t>
  </si>
  <si>
    <t>SP058</t>
  </si>
  <si>
    <t>SP059</t>
  </si>
  <si>
    <t>SP060</t>
  </si>
  <si>
    <t>SP061</t>
  </si>
  <si>
    <t>SP062</t>
  </si>
  <si>
    <t>SP063</t>
  </si>
  <si>
    <t>SP064</t>
  </si>
  <si>
    <t>SP065</t>
  </si>
  <si>
    <t>SP066</t>
  </si>
  <si>
    <t>SP067</t>
  </si>
  <si>
    <t>SP068</t>
  </si>
  <si>
    <t>SP069</t>
  </si>
  <si>
    <t>SP070</t>
  </si>
  <si>
    <t>SP071</t>
  </si>
  <si>
    <t>SP072</t>
  </si>
  <si>
    <t>SP073</t>
  </si>
  <si>
    <t>SP074</t>
  </si>
  <si>
    <t>SP075</t>
  </si>
  <si>
    <t>SP076</t>
  </si>
  <si>
    <t>SP077</t>
  </si>
  <si>
    <t>SP078</t>
  </si>
  <si>
    <t>SP079</t>
  </si>
  <si>
    <t>SP080</t>
  </si>
  <si>
    <t>SP081</t>
  </si>
  <si>
    <t>SP082</t>
  </si>
  <si>
    <t>SP083</t>
  </si>
  <si>
    <t>SP084</t>
  </si>
  <si>
    <t>SP085</t>
  </si>
  <si>
    <t>SP086</t>
  </si>
  <si>
    <t>SP087</t>
  </si>
  <si>
    <t>SP088</t>
  </si>
  <si>
    <t>SP089</t>
  </si>
  <si>
    <t>SP090</t>
  </si>
  <si>
    <t>SP091</t>
  </si>
  <si>
    <t>SP092</t>
  </si>
  <si>
    <t>SP093</t>
  </si>
  <si>
    <t>SP094</t>
  </si>
  <si>
    <t>SP095</t>
  </si>
  <si>
    <t>SP096</t>
  </si>
  <si>
    <t>SP097</t>
  </si>
  <si>
    <t>SP098</t>
  </si>
  <si>
    <t>SP099</t>
  </si>
  <si>
    <t>SP100</t>
  </si>
  <si>
    <t>SP101</t>
  </si>
  <si>
    <t>SP102</t>
  </si>
  <si>
    <t>SP103</t>
  </si>
  <si>
    <t>SP104</t>
  </si>
  <si>
    <t>SP105</t>
  </si>
  <si>
    <t>SP106</t>
  </si>
  <si>
    <t>SP107</t>
  </si>
  <si>
    <t>SP108</t>
  </si>
  <si>
    <t>SP109</t>
  </si>
  <si>
    <t>SP110</t>
  </si>
  <si>
    <t>SP111</t>
  </si>
  <si>
    <t>SP112</t>
  </si>
  <si>
    <t>SP113</t>
  </si>
  <si>
    <t>SP114</t>
  </si>
  <si>
    <t>SP115</t>
  </si>
  <si>
    <t>SP116</t>
  </si>
  <si>
    <t>SP117</t>
  </si>
  <si>
    <t>SP118</t>
  </si>
  <si>
    <t>SP119</t>
  </si>
  <si>
    <t>SP120</t>
  </si>
  <si>
    <t>SP121</t>
  </si>
  <si>
    <t>SP122</t>
  </si>
  <si>
    <t>SP123</t>
  </si>
  <si>
    <t>SP124</t>
  </si>
  <si>
    <t>SP125</t>
  </si>
  <si>
    <t>SP126</t>
  </si>
  <si>
    <t>SP127</t>
  </si>
  <si>
    <t>SP128</t>
  </si>
  <si>
    <t>SP129</t>
  </si>
  <si>
    <t>SP130</t>
  </si>
  <si>
    <t>SP131</t>
  </si>
  <si>
    <t>SP132</t>
  </si>
  <si>
    <t>SP133</t>
  </si>
  <si>
    <t>SP134</t>
  </si>
  <si>
    <t>SP135</t>
  </si>
  <si>
    <t>SP136</t>
  </si>
  <si>
    <t>SP137</t>
  </si>
  <si>
    <t>SP138</t>
  </si>
  <si>
    <t>SP139</t>
  </si>
  <si>
    <t>SP140</t>
  </si>
  <si>
    <t>SP141</t>
  </si>
  <si>
    <t>SP142</t>
  </si>
  <si>
    <t>SP143</t>
  </si>
  <si>
    <t>SP144</t>
  </si>
  <si>
    <t>SP145</t>
  </si>
  <si>
    <t>SP146</t>
  </si>
  <si>
    <t>SP147</t>
  </si>
  <si>
    <t>SP148</t>
  </si>
  <si>
    <t>SP149</t>
  </si>
  <si>
    <t>SP150</t>
  </si>
  <si>
    <t>SP151</t>
  </si>
  <si>
    <t>SP152</t>
  </si>
  <si>
    <t>SP153</t>
  </si>
  <si>
    <t>SP154</t>
  </si>
  <si>
    <t>SP155</t>
  </si>
  <si>
    <t>SP156</t>
  </si>
  <si>
    <t>SP157</t>
  </si>
  <si>
    <t>SP158</t>
  </si>
  <si>
    <t>SP159</t>
  </si>
  <si>
    <t>SP160</t>
  </si>
  <si>
    <t>SP161</t>
  </si>
  <si>
    <t>SP162</t>
  </si>
  <si>
    <t>SP163</t>
  </si>
  <si>
    <t>SP164</t>
  </si>
  <si>
    <t>SP165</t>
  </si>
  <si>
    <t>SP166</t>
  </si>
  <si>
    <t>SP167</t>
  </si>
  <si>
    <t>SP168</t>
  </si>
  <si>
    <t>SP169</t>
  </si>
  <si>
    <t>SP170</t>
  </si>
  <si>
    <t>SP171</t>
  </si>
  <si>
    <t>SP172</t>
  </si>
  <si>
    <t>SP173</t>
  </si>
  <si>
    <t>SP174</t>
  </si>
  <si>
    <t>SP175</t>
  </si>
  <si>
    <t>SP176</t>
  </si>
  <si>
    <t>SP177</t>
  </si>
  <si>
    <t>SP178</t>
  </si>
  <si>
    <t>SP179</t>
  </si>
  <si>
    <t>SP180</t>
  </si>
  <si>
    <t>SP181</t>
  </si>
  <si>
    <t>SP182</t>
  </si>
  <si>
    <t>SP183</t>
  </si>
  <si>
    <t>SP184</t>
  </si>
  <si>
    <t>SP185</t>
  </si>
  <si>
    <t>SP186</t>
  </si>
  <si>
    <t>SP187</t>
  </si>
  <si>
    <t>SP188</t>
  </si>
  <si>
    <t>SP189</t>
  </si>
  <si>
    <t>SP190</t>
  </si>
  <si>
    <t>SP191</t>
  </si>
  <si>
    <t>SP192</t>
  </si>
  <si>
    <t>SP193</t>
  </si>
  <si>
    <t>SP194</t>
  </si>
  <si>
    <t>SP195</t>
  </si>
  <si>
    <t>SP196</t>
  </si>
  <si>
    <t>SP197</t>
  </si>
  <si>
    <t>SP198</t>
  </si>
  <si>
    <t>SP199</t>
  </si>
  <si>
    <t>SP200</t>
  </si>
  <si>
    <t>SP201</t>
  </si>
  <si>
    <t>SP202</t>
  </si>
  <si>
    <t>SP203</t>
  </si>
  <si>
    <t>SP204</t>
  </si>
  <si>
    <t>SP205</t>
  </si>
  <si>
    <t>SP206</t>
  </si>
  <si>
    <t>SP207</t>
  </si>
  <si>
    <t>SP208</t>
  </si>
  <si>
    <t>SP209</t>
  </si>
  <si>
    <t>SP210</t>
  </si>
  <si>
    <t>SP211</t>
  </si>
  <si>
    <t>SP212</t>
  </si>
  <si>
    <t>SP213</t>
  </si>
  <si>
    <t>SP214</t>
  </si>
  <si>
    <t>SP215</t>
  </si>
  <si>
    <t>SP216</t>
  </si>
  <si>
    <t>SP217</t>
  </si>
  <si>
    <t>SP218</t>
  </si>
  <si>
    <t>SP219</t>
  </si>
  <si>
    <t>SP220</t>
  </si>
  <si>
    <t>SP221</t>
  </si>
  <si>
    <t>SP222</t>
  </si>
  <si>
    <t>SP223</t>
  </si>
  <si>
    <t>SP224</t>
  </si>
  <si>
    <t>SP225</t>
  </si>
  <si>
    <t>SP226</t>
  </si>
  <si>
    <t>SP227</t>
  </si>
  <si>
    <t>SP228</t>
  </si>
  <si>
    <t>SP229</t>
  </si>
  <si>
    <t>SP230</t>
  </si>
  <si>
    <t>SP231</t>
  </si>
  <si>
    <t>SP232</t>
  </si>
  <si>
    <t>SP233</t>
  </si>
  <si>
    <t>SP234</t>
  </si>
  <si>
    <t>SP235</t>
  </si>
  <si>
    <t>SP236</t>
  </si>
  <si>
    <t>SP237</t>
  </si>
  <si>
    <t>SP238</t>
  </si>
  <si>
    <t>SP239</t>
  </si>
  <si>
    <t>SP240</t>
  </si>
  <si>
    <t>SP241</t>
  </si>
  <si>
    <t>SP242</t>
  </si>
  <si>
    <t>SP243</t>
  </si>
  <si>
    <t>SP244</t>
  </si>
  <si>
    <t>SP245</t>
  </si>
  <si>
    <t>SP246</t>
  </si>
  <si>
    <t>SP247</t>
  </si>
  <si>
    <t>SP248</t>
  </si>
  <si>
    <t>SP249</t>
  </si>
  <si>
    <t>SP250</t>
  </si>
  <si>
    <t>SP251</t>
  </si>
  <si>
    <t>SP252</t>
  </si>
  <si>
    <t>SP253</t>
  </si>
  <si>
    <t>SP254</t>
  </si>
  <si>
    <t>SP255</t>
  </si>
  <si>
    <t>SP256</t>
  </si>
  <si>
    <t>SP257</t>
  </si>
  <si>
    <t>SP258</t>
  </si>
  <si>
    <t>SP259</t>
  </si>
  <si>
    <t>SP260</t>
  </si>
  <si>
    <t>SP261</t>
  </si>
  <si>
    <t>SP262</t>
  </si>
  <si>
    <t>SP263</t>
  </si>
  <si>
    <t>SP264</t>
  </si>
  <si>
    <t>SP265</t>
  </si>
  <si>
    <t>SP266</t>
  </si>
  <si>
    <t>SP267</t>
  </si>
  <si>
    <t>SP268</t>
  </si>
  <si>
    <t>SP269</t>
  </si>
  <si>
    <t>SP270</t>
  </si>
  <si>
    <t>SP271</t>
  </si>
  <si>
    <t>SP272</t>
  </si>
  <si>
    <t>SP273</t>
  </si>
  <si>
    <t>SP274</t>
  </si>
  <si>
    <t>SP275</t>
  </si>
  <si>
    <t>SP276</t>
  </si>
  <si>
    <t>SP277</t>
  </si>
  <si>
    <t>SP278</t>
  </si>
  <si>
    <t>SP279</t>
  </si>
  <si>
    <t>SP280</t>
  </si>
  <si>
    <t>SP281</t>
  </si>
  <si>
    <t>SP282</t>
  </si>
  <si>
    <t>SP283</t>
  </si>
  <si>
    <t>SP284</t>
  </si>
  <si>
    <t>SP285</t>
  </si>
  <si>
    <t>SP286</t>
  </si>
  <si>
    <t>SP287</t>
  </si>
  <si>
    <t>SP288</t>
  </si>
  <si>
    <t>SP289</t>
  </si>
  <si>
    <t>SP290</t>
  </si>
  <si>
    <t>SP291</t>
  </si>
  <si>
    <t>SP292</t>
  </si>
  <si>
    <t>SP293</t>
  </si>
  <si>
    <t>SP294</t>
  </si>
  <si>
    <t>SP295</t>
  </si>
  <si>
    <t>SP296</t>
  </si>
  <si>
    <t>SP297</t>
  </si>
  <si>
    <t>SP298</t>
  </si>
  <si>
    <t>SP299</t>
  </si>
  <si>
    <t>SP300</t>
  </si>
  <si>
    <t>Week_Start_Date</t>
  </si>
  <si>
    <t>New_Followers</t>
  </si>
  <si>
    <t>Unfollows</t>
  </si>
  <si>
    <t>Total_Followers</t>
  </si>
  <si>
    <t>Engagement_Rate</t>
  </si>
  <si>
    <t>Ad_Spend</t>
  </si>
  <si>
    <t>Start_Date</t>
  </si>
  <si>
    <t>End_Date</t>
  </si>
  <si>
    <t>Engagement</t>
  </si>
  <si>
    <t>#SpotifyWrapped</t>
  </si>
  <si>
    <t>#MusicForEveryone</t>
  </si>
  <si>
    <t>Hashtags Used - II</t>
  </si>
  <si>
    <t>Hashtags Used - I</t>
  </si>
  <si>
    <t>Wrapped is here! Relive your top tracks 🎧</t>
  </si>
  <si>
    <t>Music that moves you—only on Spotify.</t>
  </si>
  <si>
    <t>What's your vibe today? #SpotifyHits</t>
  </si>
  <si>
    <t>From pop to podcasts, it's all here.</t>
  </si>
  <si>
    <t>Campaign_Phase</t>
  </si>
  <si>
    <t>Weekly_Followers_Gain</t>
  </si>
  <si>
    <t>Total_Weekly_Followers_Gain</t>
  </si>
  <si>
    <t>Weeks</t>
  </si>
  <si>
    <t>Week_With_Highest_Follower_Gain</t>
  </si>
  <si>
    <t>Follower_Gain</t>
  </si>
  <si>
    <t>Moving_Average</t>
  </si>
  <si>
    <t>Correlation_between_Ad_spent_AND_Follower_gain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</si>
</sst>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Red]0"/>
    <numFmt numFmtId="165" formatCode="0.000"/>
    <numFmt numFmtId="166" formatCode="0.0000"/>
  </numFmts>
  <fonts count="13">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quot;Aptos Narrow&quot;"/>
    </font>
    <font>
      <b/>
      <sz val="11"/>
      <color theme="1"/>
      <name val="Calibri"/>
      <family val="2"/>
      <scheme val="minor"/>
    </font>
    <font>
      <b/>
      <sz val="11"/>
      <name val="&quot;Aptos Narrow&quot;"/>
    </font>
    <font>
      <b/>
      <sz val="11"/>
      <name val="Calibri"/>
      <family val="2"/>
      <scheme val="minor"/>
    </font>
    <font>
      <b/>
      <sz val="11"/>
      <color theme="3"/>
      <name val="Calibri"/>
      <family val="2"/>
      <scheme val="minor"/>
    </font>
    <font>
      <b/>
      <sz val="11"/>
      <color theme="3"/>
      <name val="&quot;Aptos Narrow&quot;"/>
    </font>
    <font>
      <sz val="11"/>
      <color theme="3"/>
      <name val="&quot;Aptos Narrow&quot;"/>
    </font>
    <font>
      <sz val="11"/>
      <color theme="3"/>
      <name val="Calibri"/>
      <family val="2"/>
      <scheme val="minor"/>
    </font>
    <font>
      <b/>
      <sz val="11"/>
      <color theme="3"/>
      <name val="Aptos Narrow"/>
      <family val="2"/>
    </font>
  </fonts>
  <fills count="7">
    <fill>
      <patternFill patternType="none"/>
    </fill>
    <fill>
      <patternFill patternType="gray125"/>
    </fill>
    <fill>
      <patternFill patternType="solid">
        <fgColor theme="6"/>
        <bgColor theme="6"/>
      </patternFill>
    </fill>
    <fill>
      <patternFill patternType="solid">
        <fgColor theme="6" tint="0.79998168889431442"/>
        <bgColor theme="6" tint="0.79998168889431442"/>
      </patternFill>
    </fill>
    <fill>
      <patternFill patternType="solid">
        <fgColor theme="6" tint="0.59999389629810485"/>
        <bgColor theme="6" tint="0.59999389629810485"/>
      </patternFill>
    </fill>
    <fill>
      <patternFill patternType="solid">
        <fgColor rgb="FF92D050"/>
        <bgColor indexed="64"/>
      </patternFill>
    </fill>
    <fill>
      <patternFill patternType="solid">
        <fgColor theme="0" tint="-0.14999847407452621"/>
        <bgColor theme="0" tint="-0.14999847407452621"/>
      </patternFill>
    </fill>
  </fills>
  <borders count="30">
    <border>
      <left/>
      <right/>
      <top/>
      <bottom/>
      <diagonal/>
    </border>
    <border>
      <left style="thin">
        <color theme="0"/>
      </left>
      <right/>
      <top style="thick">
        <color theme="0"/>
      </top>
      <bottom/>
      <diagonal/>
    </border>
    <border>
      <left style="thin">
        <color theme="0"/>
      </left>
      <right/>
      <top style="thin">
        <color theme="0"/>
      </top>
      <bottom/>
      <diagonal/>
    </border>
    <border>
      <left style="thin">
        <color theme="0"/>
      </left>
      <right/>
      <top style="thin">
        <color theme="0"/>
      </top>
      <bottom style="thin">
        <color indexed="64"/>
      </bottom>
      <diagonal/>
    </border>
    <border>
      <left style="thin">
        <color indexed="64"/>
      </left>
      <right/>
      <top style="thin">
        <color indexed="64"/>
      </top>
      <bottom/>
      <diagonal/>
    </border>
    <border>
      <left style="thin">
        <color theme="0"/>
      </left>
      <right/>
      <top style="thin">
        <color indexed="64"/>
      </top>
      <bottom/>
      <diagonal/>
    </border>
    <border>
      <left style="thin">
        <color indexed="64"/>
      </left>
      <right/>
      <top style="thick">
        <color theme="0"/>
      </top>
      <bottom/>
      <diagonal/>
    </border>
    <border>
      <left style="thin">
        <color indexed="64"/>
      </left>
      <right/>
      <top style="thin">
        <color theme="0"/>
      </top>
      <bottom/>
      <diagonal/>
    </border>
    <border>
      <left style="thin">
        <color indexed="64"/>
      </left>
      <right/>
      <top style="thin">
        <color theme="0"/>
      </top>
      <bottom style="thin">
        <color indexed="64"/>
      </bottom>
      <diagonal/>
    </border>
    <border>
      <left style="thin">
        <color theme="0"/>
      </left>
      <right/>
      <top/>
      <bottom/>
      <diagonal/>
    </border>
    <border>
      <left style="thin">
        <color indexed="64"/>
      </left>
      <right/>
      <top/>
      <bottom/>
      <diagonal/>
    </border>
    <border>
      <left/>
      <right/>
      <top style="thick">
        <color theme="0"/>
      </top>
      <bottom/>
      <diagonal/>
    </border>
    <border>
      <left/>
      <right/>
      <top style="thin">
        <color theme="0"/>
      </top>
      <bottom/>
      <diagonal/>
    </border>
    <border>
      <left style="medium">
        <color indexed="64"/>
      </left>
      <right style="medium">
        <color indexed="64"/>
      </right>
      <top style="medium">
        <color indexed="64"/>
      </top>
      <bottom/>
      <diagonal/>
    </border>
    <border>
      <left style="medium">
        <color indexed="64"/>
      </left>
      <right style="medium">
        <color indexed="64"/>
      </right>
      <top style="medium">
        <color theme="1"/>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theme="0"/>
      </left>
      <right style="thin">
        <color indexed="64"/>
      </right>
      <top style="thin">
        <color indexed="64"/>
      </top>
      <bottom/>
      <diagonal/>
    </border>
    <border>
      <left style="thin">
        <color indexed="64"/>
      </left>
      <right/>
      <top style="thick">
        <color theme="0"/>
      </top>
      <bottom style="thin">
        <color indexed="64"/>
      </bottom>
      <diagonal/>
    </border>
    <border>
      <left style="thin">
        <color theme="0"/>
      </left>
      <right style="thin">
        <color indexed="64"/>
      </right>
      <top style="thick">
        <color theme="0"/>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left>
      <right style="thin">
        <color theme="6"/>
      </right>
      <top style="thin">
        <color theme="6"/>
      </top>
      <bottom/>
      <diagonal/>
    </border>
    <border>
      <left style="thin">
        <color theme="6"/>
      </left>
      <right style="thin">
        <color theme="6"/>
      </right>
      <top style="thin">
        <color theme="6"/>
      </top>
      <bottom style="thin">
        <color theme="6"/>
      </bottom>
      <diagonal/>
    </border>
    <border>
      <left style="thin">
        <color theme="0"/>
      </left>
      <right style="thin">
        <color indexed="64"/>
      </right>
      <top style="thick">
        <color theme="0"/>
      </top>
      <bottom/>
      <diagonal/>
    </border>
    <border>
      <left style="thin">
        <color theme="0"/>
      </left>
      <right/>
      <top style="thick">
        <color theme="0"/>
      </top>
      <bottom style="thin">
        <color indexed="64"/>
      </bottom>
      <diagonal/>
    </border>
  </borders>
  <cellStyleXfs count="1">
    <xf numFmtId="0" fontId="0" fillId="0" borderId="0"/>
  </cellStyleXfs>
  <cellXfs count="99">
    <xf numFmtId="0" fontId="0" fillId="0" borderId="0" xfId="0"/>
    <xf numFmtId="0" fontId="4" fillId="4" borderId="1" xfId="0" applyFont="1" applyFill="1" applyBorder="1"/>
    <xf numFmtId="14" fontId="4" fillId="4" borderId="1" xfId="0" applyNumberFormat="1" applyFont="1" applyFill="1" applyBorder="1" applyAlignment="1">
      <alignment horizontal="right"/>
    </xf>
    <xf numFmtId="49" fontId="4" fillId="4" borderId="1" xfId="0" applyNumberFormat="1" applyFont="1" applyFill="1" applyBorder="1"/>
    <xf numFmtId="1" fontId="4" fillId="4" borderId="1" xfId="0" applyNumberFormat="1" applyFont="1" applyFill="1" applyBorder="1" applyAlignment="1">
      <alignment horizontal="right"/>
    </xf>
    <xf numFmtId="0" fontId="4" fillId="3" borderId="2" xfId="0" applyFont="1" applyFill="1" applyBorder="1"/>
    <xf numFmtId="14" fontId="4" fillId="3" borderId="2" xfId="0" applyNumberFormat="1" applyFont="1" applyFill="1" applyBorder="1" applyAlignment="1">
      <alignment horizontal="right"/>
    </xf>
    <xf numFmtId="49" fontId="4" fillId="3" borderId="2" xfId="0" applyNumberFormat="1" applyFont="1" applyFill="1" applyBorder="1"/>
    <xf numFmtId="1" fontId="4" fillId="3" borderId="2" xfId="0" applyNumberFormat="1" applyFont="1" applyFill="1" applyBorder="1" applyAlignment="1">
      <alignment horizontal="right"/>
    </xf>
    <xf numFmtId="0" fontId="4" fillId="4" borderId="2" xfId="0" applyFont="1" applyFill="1" applyBorder="1"/>
    <xf numFmtId="14" fontId="4" fillId="4" borderId="2" xfId="0" applyNumberFormat="1" applyFont="1" applyFill="1" applyBorder="1" applyAlignment="1">
      <alignment horizontal="right"/>
    </xf>
    <xf numFmtId="49" fontId="4" fillId="4" borderId="2" xfId="0" applyNumberFormat="1" applyFont="1" applyFill="1" applyBorder="1"/>
    <xf numFmtId="1" fontId="4" fillId="4" borderId="2" xfId="0" applyNumberFormat="1" applyFont="1" applyFill="1" applyBorder="1" applyAlignment="1">
      <alignment horizontal="right"/>
    </xf>
    <xf numFmtId="0" fontId="5" fillId="5" borderId="0" xfId="0" applyFont="1" applyFill="1"/>
    <xf numFmtId="0" fontId="0" fillId="5" borderId="0" xfId="0" applyFill="1"/>
    <xf numFmtId="14" fontId="0" fillId="5" borderId="0" xfId="0" applyNumberFormat="1" applyFill="1"/>
    <xf numFmtId="1" fontId="0" fillId="5" borderId="0" xfId="0" applyNumberFormat="1" applyFill="1"/>
    <xf numFmtId="0" fontId="4" fillId="3" borderId="3" xfId="0" applyFont="1" applyFill="1" applyBorder="1"/>
    <xf numFmtId="14" fontId="4" fillId="3" borderId="3" xfId="0" applyNumberFormat="1" applyFont="1" applyFill="1" applyBorder="1" applyAlignment="1">
      <alignment horizontal="right"/>
    </xf>
    <xf numFmtId="49" fontId="4" fillId="3" borderId="3" xfId="0" applyNumberFormat="1" applyFont="1" applyFill="1" applyBorder="1"/>
    <xf numFmtId="1" fontId="4" fillId="3" borderId="3" xfId="0" applyNumberFormat="1" applyFont="1" applyFill="1" applyBorder="1" applyAlignment="1">
      <alignment horizontal="right"/>
    </xf>
    <xf numFmtId="0" fontId="4" fillId="4" borderId="6" xfId="0" applyFont="1" applyFill="1" applyBorder="1"/>
    <xf numFmtId="0" fontId="4" fillId="3" borderId="7" xfId="0" applyFont="1" applyFill="1" applyBorder="1"/>
    <xf numFmtId="0" fontId="4" fillId="4" borderId="7" xfId="0" applyFont="1" applyFill="1" applyBorder="1"/>
    <xf numFmtId="0" fontId="4" fillId="3" borderId="8" xfId="0" applyFont="1" applyFill="1" applyBorder="1"/>
    <xf numFmtId="2" fontId="0" fillId="5" borderId="0" xfId="0" applyNumberFormat="1" applyFill="1"/>
    <xf numFmtId="164" fontId="0" fillId="5" borderId="0" xfId="0" applyNumberFormat="1" applyFill="1"/>
    <xf numFmtId="0" fontId="7" fillId="5" borderId="0" xfId="0" applyFont="1" applyFill="1"/>
    <xf numFmtId="0" fontId="6" fillId="2" borderId="4" xfId="0" applyFont="1" applyFill="1" applyBorder="1"/>
    <xf numFmtId="49" fontId="6" fillId="2" borderId="5" xfId="0" applyNumberFormat="1" applyFont="1" applyFill="1" applyBorder="1"/>
    <xf numFmtId="14" fontId="6" fillId="2" borderId="5" xfId="0" applyNumberFormat="1" applyFont="1" applyFill="1" applyBorder="1"/>
    <xf numFmtId="0" fontId="6" fillId="2" borderId="5" xfId="0" applyFont="1" applyFill="1" applyBorder="1"/>
    <xf numFmtId="1" fontId="6" fillId="2" borderId="5" xfId="0" applyNumberFormat="1" applyFont="1" applyFill="1" applyBorder="1"/>
    <xf numFmtId="14" fontId="9" fillId="2" borderId="4" xfId="0" applyNumberFormat="1" applyFont="1" applyFill="1" applyBorder="1"/>
    <xf numFmtId="0" fontId="9" fillId="2" borderId="5" xfId="0" applyFont="1" applyFill="1" applyBorder="1"/>
    <xf numFmtId="1" fontId="9" fillId="2" borderId="5" xfId="0" applyNumberFormat="1" applyFont="1" applyFill="1" applyBorder="1"/>
    <xf numFmtId="2" fontId="9" fillId="2" borderId="5" xfId="0" applyNumberFormat="1" applyFont="1" applyFill="1" applyBorder="1"/>
    <xf numFmtId="164" fontId="9" fillId="2" borderId="5" xfId="0" applyNumberFormat="1" applyFont="1" applyFill="1" applyBorder="1"/>
    <xf numFmtId="0" fontId="12" fillId="2" borderId="10" xfId="0" applyFont="1" applyFill="1" applyBorder="1"/>
    <xf numFmtId="14" fontId="10" fillId="4" borderId="6" xfId="0" applyNumberFormat="1" applyFont="1" applyFill="1" applyBorder="1" applyAlignment="1">
      <alignment horizontal="right"/>
    </xf>
    <xf numFmtId="0" fontId="10" fillId="4" borderId="1" xfId="0" applyFont="1" applyFill="1" applyBorder="1"/>
    <xf numFmtId="1" fontId="10" fillId="4" borderId="1" xfId="0" applyNumberFormat="1" applyFont="1" applyFill="1" applyBorder="1" applyAlignment="1">
      <alignment horizontal="right"/>
    </xf>
    <xf numFmtId="2" fontId="10" fillId="4" borderId="1" xfId="0" applyNumberFormat="1" applyFont="1" applyFill="1" applyBorder="1" applyAlignment="1">
      <alignment horizontal="right"/>
    </xf>
    <xf numFmtId="164" fontId="10" fillId="4" borderId="1" xfId="0" applyNumberFormat="1" applyFont="1" applyFill="1" applyBorder="1" applyAlignment="1">
      <alignment horizontal="right"/>
    </xf>
    <xf numFmtId="1" fontId="11" fillId="4" borderId="6" xfId="0" applyNumberFormat="1" applyFont="1" applyFill="1" applyBorder="1"/>
    <xf numFmtId="14" fontId="10" fillId="3" borderId="7" xfId="0" applyNumberFormat="1" applyFont="1" applyFill="1" applyBorder="1" applyAlignment="1">
      <alignment horizontal="right"/>
    </xf>
    <xf numFmtId="0" fontId="10" fillId="3" borderId="2" xfId="0" applyFont="1" applyFill="1" applyBorder="1"/>
    <xf numFmtId="1" fontId="10" fillId="3" borderId="2" xfId="0" applyNumberFormat="1" applyFont="1" applyFill="1" applyBorder="1" applyAlignment="1">
      <alignment horizontal="right"/>
    </xf>
    <xf numFmtId="2" fontId="10" fillId="3" borderId="2" xfId="0" applyNumberFormat="1" applyFont="1" applyFill="1" applyBorder="1" applyAlignment="1">
      <alignment horizontal="right"/>
    </xf>
    <xf numFmtId="164" fontId="10" fillId="3" borderId="2" xfId="0" applyNumberFormat="1" applyFont="1" applyFill="1" applyBorder="1" applyAlignment="1">
      <alignment horizontal="right"/>
    </xf>
    <xf numFmtId="1" fontId="11" fillId="3" borderId="7" xfId="0" applyNumberFormat="1" applyFont="1" applyFill="1" applyBorder="1"/>
    <xf numFmtId="14" fontId="10" fillId="4" borderId="7" xfId="0" applyNumberFormat="1" applyFont="1" applyFill="1" applyBorder="1" applyAlignment="1">
      <alignment horizontal="right"/>
    </xf>
    <xf numFmtId="0" fontId="10" fillId="4" borderId="2" xfId="0" applyFont="1" applyFill="1" applyBorder="1"/>
    <xf numFmtId="1" fontId="10" fillId="4" borderId="2" xfId="0" applyNumberFormat="1" applyFont="1" applyFill="1" applyBorder="1" applyAlignment="1">
      <alignment horizontal="right"/>
    </xf>
    <xf numFmtId="2" fontId="10" fillId="4" borderId="2" xfId="0" applyNumberFormat="1" applyFont="1" applyFill="1" applyBorder="1" applyAlignment="1">
      <alignment horizontal="right"/>
    </xf>
    <xf numFmtId="164" fontId="10" fillId="4" borderId="2" xfId="0" applyNumberFormat="1" applyFont="1" applyFill="1" applyBorder="1" applyAlignment="1">
      <alignment horizontal="right"/>
    </xf>
    <xf numFmtId="1" fontId="11" fillId="4" borderId="7" xfId="0" applyNumberFormat="1" applyFont="1" applyFill="1" applyBorder="1"/>
    <xf numFmtId="14" fontId="10" fillId="3" borderId="8" xfId="0" applyNumberFormat="1" applyFont="1" applyFill="1" applyBorder="1" applyAlignment="1">
      <alignment horizontal="right"/>
    </xf>
    <xf numFmtId="0" fontId="10" fillId="3" borderId="3" xfId="0" applyFont="1" applyFill="1" applyBorder="1"/>
    <xf numFmtId="1" fontId="10" fillId="3" borderId="3" xfId="0" applyNumberFormat="1" applyFont="1" applyFill="1" applyBorder="1" applyAlignment="1">
      <alignment horizontal="right"/>
    </xf>
    <xf numFmtId="2" fontId="10" fillId="3" borderId="3" xfId="0" applyNumberFormat="1" applyFont="1" applyFill="1" applyBorder="1" applyAlignment="1">
      <alignment horizontal="right"/>
    </xf>
    <xf numFmtId="164" fontId="10" fillId="3" borderId="3" xfId="0" applyNumberFormat="1" applyFont="1" applyFill="1" applyBorder="1" applyAlignment="1">
      <alignment horizontal="right"/>
    </xf>
    <xf numFmtId="0" fontId="11" fillId="4" borderId="1" xfId="0" applyFont="1" applyFill="1" applyBorder="1"/>
    <xf numFmtId="0" fontId="11" fillId="3" borderId="2" xfId="0" applyFont="1" applyFill="1" applyBorder="1"/>
    <xf numFmtId="0" fontId="11" fillId="4" borderId="2" xfId="0" applyFont="1" applyFill="1" applyBorder="1"/>
    <xf numFmtId="0" fontId="8" fillId="2" borderId="9" xfId="0" applyFont="1" applyFill="1" applyBorder="1"/>
    <xf numFmtId="14" fontId="8" fillId="2" borderId="0" xfId="0" applyNumberFormat="1" applyFont="1" applyFill="1"/>
    <xf numFmtId="14" fontId="11" fillId="4" borderId="11" xfId="0" applyNumberFormat="1" applyFont="1" applyFill="1" applyBorder="1"/>
    <xf numFmtId="14" fontId="11" fillId="3" borderId="12" xfId="0" applyNumberFormat="1" applyFont="1" applyFill="1" applyBorder="1"/>
    <xf numFmtId="14" fontId="11" fillId="4" borderId="12" xfId="0" applyNumberFormat="1" applyFont="1" applyFill="1" applyBorder="1"/>
    <xf numFmtId="165" fontId="8" fillId="2" borderId="13" xfId="0" applyNumberFormat="1" applyFont="1" applyFill="1" applyBorder="1"/>
    <xf numFmtId="165" fontId="0" fillId="5" borderId="0" xfId="0" applyNumberFormat="1" applyFill="1"/>
    <xf numFmtId="0" fontId="0" fillId="0" borderId="4" xfId="0" applyBorder="1"/>
    <xf numFmtId="0" fontId="0" fillId="0" borderId="15" xfId="0" applyBorder="1"/>
    <xf numFmtId="14" fontId="0" fillId="0" borderId="10" xfId="0" applyNumberFormat="1" applyBorder="1" applyAlignment="1">
      <alignment horizontal="left"/>
    </xf>
    <xf numFmtId="1" fontId="0" fillId="0" borderId="16" xfId="0" applyNumberFormat="1" applyBorder="1"/>
    <xf numFmtId="14" fontId="0" fillId="0" borderId="17" xfId="0" applyNumberFormat="1" applyBorder="1" applyAlignment="1">
      <alignment horizontal="left"/>
    </xf>
    <xf numFmtId="1" fontId="0" fillId="0" borderId="18" xfId="0" applyNumberFormat="1" applyBorder="1"/>
    <xf numFmtId="0" fontId="8" fillId="2" borderId="4" xfId="0" applyFont="1" applyFill="1" applyBorder="1"/>
    <xf numFmtId="0" fontId="8" fillId="2" borderId="19" xfId="0" applyFont="1" applyFill="1" applyBorder="1"/>
    <xf numFmtId="14" fontId="0" fillId="4" borderId="20" xfId="0" applyNumberFormat="1" applyFill="1" applyBorder="1"/>
    <xf numFmtId="1" fontId="0" fillId="4" borderId="21" xfId="0" applyNumberFormat="1" applyFill="1" applyBorder="1"/>
    <xf numFmtId="166" fontId="11" fillId="6" borderId="14" xfId="0" applyNumberFormat="1" applyFont="1" applyFill="1" applyBorder="1"/>
    <xf numFmtId="0" fontId="2" fillId="3" borderId="22" xfId="0" applyFont="1" applyFill="1" applyBorder="1"/>
    <xf numFmtId="0" fontId="2" fillId="3" borderId="23" xfId="0" applyFont="1" applyFill="1" applyBorder="1"/>
    <xf numFmtId="166" fontId="2" fillId="0" borderId="27" xfId="0" applyNumberFormat="1" applyFont="1" applyBorder="1"/>
    <xf numFmtId="0" fontId="8" fillId="2" borderId="24" xfId="0" applyFont="1" applyFill="1" applyBorder="1"/>
    <xf numFmtId="0" fontId="8" fillId="2" borderId="25" xfId="0" applyFont="1" applyFill="1" applyBorder="1"/>
    <xf numFmtId="0" fontId="8" fillId="2" borderId="26" xfId="0" applyFont="1" applyFill="1" applyBorder="1"/>
    <xf numFmtId="14" fontId="1" fillId="4" borderId="6" xfId="0" applyNumberFormat="1" applyFont="1" applyFill="1" applyBorder="1"/>
    <xf numFmtId="14" fontId="1" fillId="4" borderId="1" xfId="0" applyNumberFormat="1" applyFont="1" applyFill="1" applyBorder="1"/>
    <xf numFmtId="14" fontId="7" fillId="2" borderId="4" xfId="0" applyNumberFormat="1" applyFont="1" applyFill="1" applyBorder="1"/>
    <xf numFmtId="14" fontId="7" fillId="2" borderId="5" xfId="0" applyNumberFormat="1" applyFont="1" applyFill="1" applyBorder="1"/>
    <xf numFmtId="0" fontId="7" fillId="2" borderId="19" xfId="0" applyFont="1" applyFill="1" applyBorder="1"/>
    <xf numFmtId="0" fontId="3" fillId="4" borderId="28" xfId="0" applyFont="1" applyFill="1" applyBorder="1"/>
    <xf numFmtId="1" fontId="4" fillId="4" borderId="29" xfId="0" applyNumberFormat="1" applyFont="1" applyFill="1" applyBorder="1" applyAlignment="1">
      <alignment horizontal="right"/>
    </xf>
    <xf numFmtId="14" fontId="1" fillId="4" borderId="20" xfId="0" applyNumberFormat="1" applyFont="1" applyFill="1" applyBorder="1"/>
    <xf numFmtId="14" fontId="1" fillId="4" borderId="29" xfId="0" applyNumberFormat="1" applyFont="1" applyFill="1" applyBorder="1"/>
    <xf numFmtId="0" fontId="3" fillId="4" borderId="21" xfId="0" applyFont="1" applyFill="1" applyBorder="1"/>
  </cellXfs>
  <cellStyles count="1">
    <cellStyle name="Normal" xfId="0" builtinId="0"/>
  </cellStyles>
  <dxfs count="14">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6" tint="0.79998168889431442"/>
        </patternFill>
      </fill>
    </dxf>
    <dxf>
      <fill>
        <patternFill>
          <bgColor theme="6" tint="0.39994506668294322"/>
        </patternFill>
      </fill>
    </dxf>
    <dxf>
      <fill>
        <patternFill>
          <bgColor theme="6" tint="-0.24994659260841701"/>
        </patternFill>
      </fill>
    </dxf>
    <dxf>
      <fill>
        <patternFill>
          <bgColor theme="6"/>
        </patternFill>
      </fill>
    </dxf>
  </dxfs>
  <tableStyles count="1" defaultTableStyle="TableStyleMedium2" defaultPivotStyle="PivotStyleLight16">
    <tableStyle name="PivotTable Style 1" table="0" count="4" xr9:uid="{B3BAFF54-6E76-4296-8C85-6188D2C66869}">
      <tableStyleElement type="wholeTable" dxfId="13"/>
      <tableStyleElement type="headerRow" dxfId="12"/>
      <tableStyleElement type="firstRowStripe" dxfId="11"/>
      <tableStyleElement type="secondRowStripe" dxfId="1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6.xlsx]Week_Follower_Gain!PivotTable1</c:name>
    <c:fmtId val="0"/>
  </c:pivotSource>
  <c:chart>
    <c:autoTitleDeleted val="1"/>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Week_Follower_Gain!$B$3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Week_Follower_Gain!$A$4:$A$70</c:f>
              <c:strCache>
                <c:ptCount val="67"/>
                <c:pt idx="0">
                  <c:v>03-06-2024</c:v>
                </c:pt>
                <c:pt idx="1">
                  <c:v>10-06-2024</c:v>
                </c:pt>
                <c:pt idx="2">
                  <c:v>17-06-2024</c:v>
                </c:pt>
                <c:pt idx="3">
                  <c:v>24-06-2024</c:v>
                </c:pt>
                <c:pt idx="4">
                  <c:v>01-07-2024</c:v>
                </c:pt>
                <c:pt idx="5">
                  <c:v>08-07-2024</c:v>
                </c:pt>
                <c:pt idx="6">
                  <c:v>15-07-2024</c:v>
                </c:pt>
                <c:pt idx="7">
                  <c:v>22-07-2024</c:v>
                </c:pt>
                <c:pt idx="8">
                  <c:v>29-07-2024</c:v>
                </c:pt>
                <c:pt idx="9">
                  <c:v>05-08-2024</c:v>
                </c:pt>
                <c:pt idx="10">
                  <c:v>12-08-2024</c:v>
                </c:pt>
                <c:pt idx="11">
                  <c:v>19-08-2024</c:v>
                </c:pt>
                <c:pt idx="12">
                  <c:v>26-08-2024</c:v>
                </c:pt>
                <c:pt idx="13">
                  <c:v>02-09-2024</c:v>
                </c:pt>
                <c:pt idx="14">
                  <c:v>09-09-2024</c:v>
                </c:pt>
                <c:pt idx="15">
                  <c:v>16-09-2024</c:v>
                </c:pt>
                <c:pt idx="16">
                  <c:v>23-09-2024</c:v>
                </c:pt>
                <c:pt idx="17">
                  <c:v>30-09-2024</c:v>
                </c:pt>
                <c:pt idx="18">
                  <c:v>07-10-2024</c:v>
                </c:pt>
                <c:pt idx="19">
                  <c:v>14-10-2024</c:v>
                </c:pt>
                <c:pt idx="20">
                  <c:v>21-10-2024</c:v>
                </c:pt>
                <c:pt idx="21">
                  <c:v>28-10-2024</c:v>
                </c:pt>
                <c:pt idx="22">
                  <c:v>04-11-2024</c:v>
                </c:pt>
                <c:pt idx="23">
                  <c:v>11-11-2024</c:v>
                </c:pt>
                <c:pt idx="24">
                  <c:v>18-11-2024</c:v>
                </c:pt>
                <c:pt idx="25">
                  <c:v>25-11-2024</c:v>
                </c:pt>
                <c:pt idx="26">
                  <c:v>02-12-2024</c:v>
                </c:pt>
                <c:pt idx="27">
                  <c:v>09-12-2024</c:v>
                </c:pt>
                <c:pt idx="28">
                  <c:v>16-12-2024</c:v>
                </c:pt>
                <c:pt idx="29">
                  <c:v>23-12-2024</c:v>
                </c:pt>
                <c:pt idx="30">
                  <c:v>30-12-2024</c:v>
                </c:pt>
                <c:pt idx="31">
                  <c:v>06-01-2025</c:v>
                </c:pt>
                <c:pt idx="32">
                  <c:v>13-01-2025</c:v>
                </c:pt>
                <c:pt idx="33">
                  <c:v>20-01-2025</c:v>
                </c:pt>
                <c:pt idx="34">
                  <c:v>27-01-2025</c:v>
                </c:pt>
                <c:pt idx="35">
                  <c:v>03-02-2025</c:v>
                </c:pt>
                <c:pt idx="36">
                  <c:v>10-02-2025</c:v>
                </c:pt>
                <c:pt idx="37">
                  <c:v>17-02-2025</c:v>
                </c:pt>
                <c:pt idx="38">
                  <c:v>24-02-2025</c:v>
                </c:pt>
                <c:pt idx="39">
                  <c:v>03-03-2025</c:v>
                </c:pt>
                <c:pt idx="40">
                  <c:v>10-03-2025</c:v>
                </c:pt>
                <c:pt idx="41">
                  <c:v>17-03-2025</c:v>
                </c:pt>
                <c:pt idx="42">
                  <c:v>24-03-2025</c:v>
                </c:pt>
                <c:pt idx="43">
                  <c:v>31-03-2025</c:v>
                </c:pt>
                <c:pt idx="44">
                  <c:v>07-04-2025</c:v>
                </c:pt>
                <c:pt idx="45">
                  <c:v>14-04-2025</c:v>
                </c:pt>
                <c:pt idx="46">
                  <c:v>21-04-2025</c:v>
                </c:pt>
                <c:pt idx="47">
                  <c:v>28-04-2025</c:v>
                </c:pt>
                <c:pt idx="48">
                  <c:v>05-05-2025</c:v>
                </c:pt>
                <c:pt idx="49">
                  <c:v>12-05-2025</c:v>
                </c:pt>
                <c:pt idx="50">
                  <c:v>19-05-2025</c:v>
                </c:pt>
                <c:pt idx="51">
                  <c:v>26-05-2025</c:v>
                </c:pt>
                <c:pt idx="52">
                  <c:v>02-06-2025</c:v>
                </c:pt>
                <c:pt idx="53">
                  <c:v>09-06-2025</c:v>
                </c:pt>
                <c:pt idx="54">
                  <c:v>16-06-2025</c:v>
                </c:pt>
                <c:pt idx="55">
                  <c:v>23-06-2025</c:v>
                </c:pt>
                <c:pt idx="56">
                  <c:v>30-06-2025</c:v>
                </c:pt>
                <c:pt idx="57">
                  <c:v>07-07-2025</c:v>
                </c:pt>
                <c:pt idx="58">
                  <c:v>14-07-2025</c:v>
                </c:pt>
                <c:pt idx="59">
                  <c:v>21-07-2025</c:v>
                </c:pt>
                <c:pt idx="60">
                  <c:v>28-07-2025</c:v>
                </c:pt>
                <c:pt idx="61">
                  <c:v>04-08-2025</c:v>
                </c:pt>
                <c:pt idx="62">
                  <c:v>11-08-2025</c:v>
                </c:pt>
                <c:pt idx="63">
                  <c:v>18-08-2025</c:v>
                </c:pt>
                <c:pt idx="64">
                  <c:v>25-08-2025</c:v>
                </c:pt>
                <c:pt idx="65">
                  <c:v>01-09-2025</c:v>
                </c:pt>
                <c:pt idx="66">
                  <c:v>08-09-2025</c:v>
                </c:pt>
              </c:strCache>
            </c:strRef>
          </c:cat>
          <c:val>
            <c:numRef>
              <c:f>Week_Follower_Gain!$B$4:$B$70</c:f>
              <c:numCache>
                <c:formatCode>0</c:formatCode>
                <c:ptCount val="67"/>
                <c:pt idx="0">
                  <c:v>3419</c:v>
                </c:pt>
                <c:pt idx="1">
                  <c:v>2777</c:v>
                </c:pt>
                <c:pt idx="2">
                  <c:v>3175</c:v>
                </c:pt>
                <c:pt idx="3">
                  <c:v>2433</c:v>
                </c:pt>
                <c:pt idx="4">
                  <c:v>2426</c:v>
                </c:pt>
                <c:pt idx="5">
                  <c:v>3155</c:v>
                </c:pt>
                <c:pt idx="6">
                  <c:v>2369</c:v>
                </c:pt>
                <c:pt idx="7">
                  <c:v>2281</c:v>
                </c:pt>
                <c:pt idx="8">
                  <c:v>2132</c:v>
                </c:pt>
                <c:pt idx="9">
                  <c:v>2693</c:v>
                </c:pt>
                <c:pt idx="10">
                  <c:v>3072</c:v>
                </c:pt>
                <c:pt idx="11">
                  <c:v>2300</c:v>
                </c:pt>
                <c:pt idx="12">
                  <c:v>2450</c:v>
                </c:pt>
                <c:pt idx="13">
                  <c:v>2502</c:v>
                </c:pt>
                <c:pt idx="14">
                  <c:v>2630</c:v>
                </c:pt>
                <c:pt idx="15">
                  <c:v>2162</c:v>
                </c:pt>
                <c:pt idx="16">
                  <c:v>2785</c:v>
                </c:pt>
                <c:pt idx="17">
                  <c:v>3151</c:v>
                </c:pt>
                <c:pt idx="18">
                  <c:v>2338</c:v>
                </c:pt>
                <c:pt idx="19">
                  <c:v>2670</c:v>
                </c:pt>
                <c:pt idx="20">
                  <c:v>2792</c:v>
                </c:pt>
                <c:pt idx="21">
                  <c:v>2181</c:v>
                </c:pt>
                <c:pt idx="22">
                  <c:v>3576</c:v>
                </c:pt>
                <c:pt idx="23">
                  <c:v>2794</c:v>
                </c:pt>
                <c:pt idx="24">
                  <c:v>1935</c:v>
                </c:pt>
                <c:pt idx="25">
                  <c:v>2287</c:v>
                </c:pt>
                <c:pt idx="26">
                  <c:v>2383</c:v>
                </c:pt>
                <c:pt idx="27">
                  <c:v>1398</c:v>
                </c:pt>
                <c:pt idx="28">
                  <c:v>2693</c:v>
                </c:pt>
                <c:pt idx="29">
                  <c:v>2550</c:v>
                </c:pt>
                <c:pt idx="30">
                  <c:v>2337</c:v>
                </c:pt>
                <c:pt idx="31">
                  <c:v>2451</c:v>
                </c:pt>
                <c:pt idx="32">
                  <c:v>2341</c:v>
                </c:pt>
                <c:pt idx="33">
                  <c:v>1832</c:v>
                </c:pt>
                <c:pt idx="34">
                  <c:v>1928</c:v>
                </c:pt>
                <c:pt idx="35">
                  <c:v>1680</c:v>
                </c:pt>
                <c:pt idx="36">
                  <c:v>2361</c:v>
                </c:pt>
                <c:pt idx="37">
                  <c:v>1543</c:v>
                </c:pt>
                <c:pt idx="38">
                  <c:v>1713</c:v>
                </c:pt>
                <c:pt idx="39">
                  <c:v>2763</c:v>
                </c:pt>
                <c:pt idx="40">
                  <c:v>2315</c:v>
                </c:pt>
                <c:pt idx="41">
                  <c:v>2188</c:v>
                </c:pt>
                <c:pt idx="42">
                  <c:v>2679</c:v>
                </c:pt>
                <c:pt idx="43">
                  <c:v>2781</c:v>
                </c:pt>
                <c:pt idx="44">
                  <c:v>3291</c:v>
                </c:pt>
                <c:pt idx="45">
                  <c:v>3216</c:v>
                </c:pt>
                <c:pt idx="46">
                  <c:v>1728</c:v>
                </c:pt>
                <c:pt idx="47">
                  <c:v>2378</c:v>
                </c:pt>
                <c:pt idx="48">
                  <c:v>2054</c:v>
                </c:pt>
                <c:pt idx="49">
                  <c:v>1400</c:v>
                </c:pt>
                <c:pt idx="50">
                  <c:v>3569</c:v>
                </c:pt>
                <c:pt idx="51">
                  <c:v>2909</c:v>
                </c:pt>
                <c:pt idx="52">
                  <c:v>2049</c:v>
                </c:pt>
                <c:pt idx="53">
                  <c:v>2243</c:v>
                </c:pt>
                <c:pt idx="54">
                  <c:v>2017</c:v>
                </c:pt>
                <c:pt idx="55">
                  <c:v>1384</c:v>
                </c:pt>
                <c:pt idx="56">
                  <c:v>2315</c:v>
                </c:pt>
                <c:pt idx="57">
                  <c:v>2669</c:v>
                </c:pt>
                <c:pt idx="58">
                  <c:v>2654</c:v>
                </c:pt>
                <c:pt idx="59">
                  <c:v>2694</c:v>
                </c:pt>
                <c:pt idx="60">
                  <c:v>3236</c:v>
                </c:pt>
                <c:pt idx="61">
                  <c:v>1689</c:v>
                </c:pt>
                <c:pt idx="62">
                  <c:v>2347</c:v>
                </c:pt>
                <c:pt idx="63">
                  <c:v>1819</c:v>
                </c:pt>
                <c:pt idx="64">
                  <c:v>2646</c:v>
                </c:pt>
                <c:pt idx="65">
                  <c:v>1424</c:v>
                </c:pt>
                <c:pt idx="66">
                  <c:v>1436</c:v>
                </c:pt>
              </c:numCache>
            </c:numRef>
          </c:val>
          <c:smooth val="0"/>
          <c:extLst>
            <c:ext xmlns:c16="http://schemas.microsoft.com/office/drawing/2014/chart" uri="{C3380CC4-5D6E-409C-BE32-E72D297353CC}">
              <c16:uniqueId val="{00000000-235C-43BB-A094-80448BF9F1B2}"/>
            </c:ext>
          </c:extLst>
        </c:ser>
        <c:dLbls>
          <c:showLegendKey val="0"/>
          <c:showVal val="0"/>
          <c:showCatName val="0"/>
          <c:showSerName val="0"/>
          <c:showPercent val="0"/>
          <c:showBubbleSize val="0"/>
        </c:dLbls>
        <c:marker val="1"/>
        <c:smooth val="0"/>
        <c:axId val="1137693296"/>
        <c:axId val="1137695696"/>
      </c:lineChart>
      <c:catAx>
        <c:axId val="113769329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7695696"/>
        <c:crosses val="autoZero"/>
        <c:auto val="1"/>
        <c:lblAlgn val="ctr"/>
        <c:lblOffset val="100"/>
        <c:noMultiLvlLbl val="0"/>
      </c:catAx>
      <c:valAx>
        <c:axId val="11376956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7693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Moving</a:t>
            </a:r>
            <a:r>
              <a:rPr lang="en-IN" baseline="0"/>
              <a:t> Average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Moving_Average!$B$1</c:f>
              <c:strCache>
                <c:ptCount val="1"/>
                <c:pt idx="0">
                  <c:v>Total_Weekly_Followers_Gain</c:v>
                </c:pt>
              </c:strCache>
            </c:strRef>
          </c:tx>
          <c:spPr>
            <a:ln w="22225" cap="rnd">
              <a:solidFill>
                <a:schemeClr val="accent1"/>
              </a:solidFill>
            </a:ln>
            <a:effectLst>
              <a:glow rad="139700">
                <a:schemeClr val="accent1">
                  <a:satMod val="175000"/>
                  <a:alpha val="14000"/>
                </a:schemeClr>
              </a:glow>
            </a:effectLst>
          </c:spPr>
          <c:marker>
            <c:symbol val="none"/>
          </c:marker>
          <c:cat>
            <c:numRef>
              <c:f>Moving_Average!$A$2:$A$68</c:f>
              <c:numCache>
                <c:formatCode>m/d/yyyy</c:formatCode>
                <c:ptCount val="67"/>
                <c:pt idx="0">
                  <c:v>45446</c:v>
                </c:pt>
                <c:pt idx="1">
                  <c:v>45453</c:v>
                </c:pt>
                <c:pt idx="2">
                  <c:v>45460</c:v>
                </c:pt>
                <c:pt idx="3">
                  <c:v>45467</c:v>
                </c:pt>
                <c:pt idx="4">
                  <c:v>45474</c:v>
                </c:pt>
                <c:pt idx="5">
                  <c:v>45481</c:v>
                </c:pt>
                <c:pt idx="6">
                  <c:v>45488</c:v>
                </c:pt>
                <c:pt idx="7">
                  <c:v>45495</c:v>
                </c:pt>
                <c:pt idx="8">
                  <c:v>45502</c:v>
                </c:pt>
                <c:pt idx="9">
                  <c:v>45509</c:v>
                </c:pt>
                <c:pt idx="10">
                  <c:v>45516</c:v>
                </c:pt>
                <c:pt idx="11">
                  <c:v>45523</c:v>
                </c:pt>
                <c:pt idx="12">
                  <c:v>45530</c:v>
                </c:pt>
                <c:pt idx="13">
                  <c:v>45537</c:v>
                </c:pt>
                <c:pt idx="14">
                  <c:v>45544</c:v>
                </c:pt>
                <c:pt idx="15">
                  <c:v>45551</c:v>
                </c:pt>
                <c:pt idx="16">
                  <c:v>45558</c:v>
                </c:pt>
                <c:pt idx="17">
                  <c:v>45565</c:v>
                </c:pt>
                <c:pt idx="18">
                  <c:v>45572</c:v>
                </c:pt>
                <c:pt idx="19">
                  <c:v>45579</c:v>
                </c:pt>
                <c:pt idx="20">
                  <c:v>45586</c:v>
                </c:pt>
                <c:pt idx="21">
                  <c:v>45593</c:v>
                </c:pt>
                <c:pt idx="22">
                  <c:v>45600</c:v>
                </c:pt>
                <c:pt idx="23">
                  <c:v>45607</c:v>
                </c:pt>
                <c:pt idx="24">
                  <c:v>45614</c:v>
                </c:pt>
                <c:pt idx="25">
                  <c:v>45621</c:v>
                </c:pt>
                <c:pt idx="26">
                  <c:v>45628</c:v>
                </c:pt>
                <c:pt idx="27">
                  <c:v>45635</c:v>
                </c:pt>
                <c:pt idx="28">
                  <c:v>45642</c:v>
                </c:pt>
                <c:pt idx="29">
                  <c:v>45649</c:v>
                </c:pt>
                <c:pt idx="30">
                  <c:v>45656</c:v>
                </c:pt>
                <c:pt idx="31">
                  <c:v>45663</c:v>
                </c:pt>
                <c:pt idx="32">
                  <c:v>45670</c:v>
                </c:pt>
                <c:pt idx="33">
                  <c:v>45677</c:v>
                </c:pt>
                <c:pt idx="34">
                  <c:v>45684</c:v>
                </c:pt>
                <c:pt idx="35">
                  <c:v>45691</c:v>
                </c:pt>
                <c:pt idx="36">
                  <c:v>45698</c:v>
                </c:pt>
                <c:pt idx="37">
                  <c:v>45705</c:v>
                </c:pt>
                <c:pt idx="38">
                  <c:v>45712</c:v>
                </c:pt>
                <c:pt idx="39">
                  <c:v>45719</c:v>
                </c:pt>
                <c:pt idx="40">
                  <c:v>45726</c:v>
                </c:pt>
                <c:pt idx="41">
                  <c:v>45733</c:v>
                </c:pt>
                <c:pt idx="42">
                  <c:v>45740</c:v>
                </c:pt>
                <c:pt idx="43">
                  <c:v>45747</c:v>
                </c:pt>
                <c:pt idx="44">
                  <c:v>45754</c:v>
                </c:pt>
                <c:pt idx="45">
                  <c:v>45761</c:v>
                </c:pt>
                <c:pt idx="46">
                  <c:v>45768</c:v>
                </c:pt>
                <c:pt idx="47">
                  <c:v>45775</c:v>
                </c:pt>
                <c:pt idx="48">
                  <c:v>45782</c:v>
                </c:pt>
                <c:pt idx="49">
                  <c:v>45789</c:v>
                </c:pt>
                <c:pt idx="50">
                  <c:v>45796</c:v>
                </c:pt>
                <c:pt idx="51">
                  <c:v>45803</c:v>
                </c:pt>
                <c:pt idx="52">
                  <c:v>45810</c:v>
                </c:pt>
                <c:pt idx="53">
                  <c:v>45817</c:v>
                </c:pt>
                <c:pt idx="54">
                  <c:v>45824</c:v>
                </c:pt>
                <c:pt idx="55">
                  <c:v>45831</c:v>
                </c:pt>
                <c:pt idx="56">
                  <c:v>45838</c:v>
                </c:pt>
                <c:pt idx="57">
                  <c:v>45845</c:v>
                </c:pt>
                <c:pt idx="58">
                  <c:v>45852</c:v>
                </c:pt>
                <c:pt idx="59">
                  <c:v>45859</c:v>
                </c:pt>
                <c:pt idx="60">
                  <c:v>45866</c:v>
                </c:pt>
                <c:pt idx="61">
                  <c:v>45873</c:v>
                </c:pt>
                <c:pt idx="62">
                  <c:v>45880</c:v>
                </c:pt>
                <c:pt idx="63">
                  <c:v>45887</c:v>
                </c:pt>
                <c:pt idx="64">
                  <c:v>45894</c:v>
                </c:pt>
                <c:pt idx="65">
                  <c:v>45901</c:v>
                </c:pt>
                <c:pt idx="66">
                  <c:v>45908</c:v>
                </c:pt>
              </c:numCache>
            </c:numRef>
          </c:cat>
          <c:val>
            <c:numRef>
              <c:f>Moving_Average!$B$2:$B$68</c:f>
              <c:numCache>
                <c:formatCode>General</c:formatCode>
                <c:ptCount val="67"/>
                <c:pt idx="0">
                  <c:v>3419</c:v>
                </c:pt>
                <c:pt idx="1">
                  <c:v>2777</c:v>
                </c:pt>
                <c:pt idx="2">
                  <c:v>3175</c:v>
                </c:pt>
                <c:pt idx="3">
                  <c:v>2433</c:v>
                </c:pt>
                <c:pt idx="4">
                  <c:v>2426</c:v>
                </c:pt>
                <c:pt idx="5">
                  <c:v>3155</c:v>
                </c:pt>
                <c:pt idx="6">
                  <c:v>2369</c:v>
                </c:pt>
                <c:pt idx="7">
                  <c:v>2281</c:v>
                </c:pt>
                <c:pt idx="8">
                  <c:v>2132</c:v>
                </c:pt>
                <c:pt idx="9">
                  <c:v>2693</c:v>
                </c:pt>
                <c:pt idx="10">
                  <c:v>3072</c:v>
                </c:pt>
                <c:pt idx="11">
                  <c:v>2300</c:v>
                </c:pt>
                <c:pt idx="12">
                  <c:v>2450</c:v>
                </c:pt>
                <c:pt idx="13">
                  <c:v>2502</c:v>
                </c:pt>
                <c:pt idx="14">
                  <c:v>2630</c:v>
                </c:pt>
                <c:pt idx="15">
                  <c:v>2162</c:v>
                </c:pt>
                <c:pt idx="16">
                  <c:v>2785</c:v>
                </c:pt>
                <c:pt idx="17">
                  <c:v>3151</c:v>
                </c:pt>
                <c:pt idx="18">
                  <c:v>2338</c:v>
                </c:pt>
                <c:pt idx="19">
                  <c:v>2670</c:v>
                </c:pt>
                <c:pt idx="20">
                  <c:v>2792</c:v>
                </c:pt>
                <c:pt idx="21">
                  <c:v>2181</c:v>
                </c:pt>
                <c:pt idx="22">
                  <c:v>3576</c:v>
                </c:pt>
                <c:pt idx="23">
                  <c:v>2794</c:v>
                </c:pt>
                <c:pt idx="24">
                  <c:v>1935</c:v>
                </c:pt>
                <c:pt idx="25">
                  <c:v>2287</c:v>
                </c:pt>
                <c:pt idx="26">
                  <c:v>2383</c:v>
                </c:pt>
                <c:pt idx="27">
                  <c:v>1398</c:v>
                </c:pt>
                <c:pt idx="28">
                  <c:v>2693</c:v>
                </c:pt>
                <c:pt idx="29">
                  <c:v>2550</c:v>
                </c:pt>
                <c:pt idx="30">
                  <c:v>2337</c:v>
                </c:pt>
                <c:pt idx="31">
                  <c:v>2451</c:v>
                </c:pt>
                <c:pt idx="32">
                  <c:v>2341</c:v>
                </c:pt>
                <c:pt idx="33">
                  <c:v>1832</c:v>
                </c:pt>
                <c:pt idx="34">
                  <c:v>1928</c:v>
                </c:pt>
                <c:pt idx="35">
                  <c:v>1680</c:v>
                </c:pt>
                <c:pt idx="36">
                  <c:v>2361</c:v>
                </c:pt>
                <c:pt idx="37">
                  <c:v>1543</c:v>
                </c:pt>
                <c:pt idx="38">
                  <c:v>1713</c:v>
                </c:pt>
                <c:pt idx="39">
                  <c:v>2763</c:v>
                </c:pt>
                <c:pt idx="40">
                  <c:v>2315</c:v>
                </c:pt>
                <c:pt idx="41">
                  <c:v>2188</c:v>
                </c:pt>
                <c:pt idx="42">
                  <c:v>2679</c:v>
                </c:pt>
                <c:pt idx="43">
                  <c:v>2781</c:v>
                </c:pt>
                <c:pt idx="44">
                  <c:v>3291</c:v>
                </c:pt>
                <c:pt idx="45">
                  <c:v>3216</c:v>
                </c:pt>
                <c:pt idx="46">
                  <c:v>1728</c:v>
                </c:pt>
                <c:pt idx="47">
                  <c:v>2378</c:v>
                </c:pt>
                <c:pt idx="48">
                  <c:v>2054</c:v>
                </c:pt>
                <c:pt idx="49">
                  <c:v>1400</c:v>
                </c:pt>
                <c:pt idx="50">
                  <c:v>3569</c:v>
                </c:pt>
                <c:pt idx="51">
                  <c:v>2909</c:v>
                </c:pt>
                <c:pt idx="52">
                  <c:v>2049</c:v>
                </c:pt>
                <c:pt idx="53">
                  <c:v>2243</c:v>
                </c:pt>
                <c:pt idx="54">
                  <c:v>2017</c:v>
                </c:pt>
                <c:pt idx="55">
                  <c:v>1384</c:v>
                </c:pt>
                <c:pt idx="56">
                  <c:v>2315</c:v>
                </c:pt>
                <c:pt idx="57">
                  <c:v>2669</c:v>
                </c:pt>
                <c:pt idx="58">
                  <c:v>2654</c:v>
                </c:pt>
                <c:pt idx="59">
                  <c:v>2694</c:v>
                </c:pt>
                <c:pt idx="60">
                  <c:v>3236</c:v>
                </c:pt>
                <c:pt idx="61">
                  <c:v>1689</c:v>
                </c:pt>
                <c:pt idx="62">
                  <c:v>2347</c:v>
                </c:pt>
                <c:pt idx="63">
                  <c:v>1819</c:v>
                </c:pt>
                <c:pt idx="64">
                  <c:v>2646</c:v>
                </c:pt>
                <c:pt idx="65">
                  <c:v>1424</c:v>
                </c:pt>
                <c:pt idx="66">
                  <c:v>1436</c:v>
                </c:pt>
              </c:numCache>
            </c:numRef>
          </c:val>
          <c:smooth val="0"/>
          <c:extLst>
            <c:ext xmlns:c16="http://schemas.microsoft.com/office/drawing/2014/chart" uri="{C3380CC4-5D6E-409C-BE32-E72D297353CC}">
              <c16:uniqueId val="{00000000-346D-4661-8660-9674C2B4AFAB}"/>
            </c:ext>
          </c:extLst>
        </c:ser>
        <c:ser>
          <c:idx val="1"/>
          <c:order val="1"/>
          <c:tx>
            <c:strRef>
              <c:f>Moving_Average!$C$1</c:f>
              <c:strCache>
                <c:ptCount val="1"/>
                <c:pt idx="0">
                  <c:v>Moving_Average</c:v>
                </c:pt>
              </c:strCache>
            </c:strRef>
          </c:tx>
          <c:spPr>
            <a:ln w="22225" cap="rnd">
              <a:solidFill>
                <a:schemeClr val="accent2"/>
              </a:solidFill>
            </a:ln>
            <a:effectLst>
              <a:glow rad="139700">
                <a:schemeClr val="accent2">
                  <a:satMod val="175000"/>
                  <a:alpha val="14000"/>
                </a:schemeClr>
              </a:glow>
            </a:effectLst>
          </c:spPr>
          <c:marker>
            <c:symbol val="none"/>
          </c:marker>
          <c:cat>
            <c:numRef>
              <c:f>Moving_Average!$A$2:$A$68</c:f>
              <c:numCache>
                <c:formatCode>m/d/yyyy</c:formatCode>
                <c:ptCount val="67"/>
                <c:pt idx="0">
                  <c:v>45446</c:v>
                </c:pt>
                <c:pt idx="1">
                  <c:v>45453</c:v>
                </c:pt>
                <c:pt idx="2">
                  <c:v>45460</c:v>
                </c:pt>
                <c:pt idx="3">
                  <c:v>45467</c:v>
                </c:pt>
                <c:pt idx="4">
                  <c:v>45474</c:v>
                </c:pt>
                <c:pt idx="5">
                  <c:v>45481</c:v>
                </c:pt>
                <c:pt idx="6">
                  <c:v>45488</c:v>
                </c:pt>
                <c:pt idx="7">
                  <c:v>45495</c:v>
                </c:pt>
                <c:pt idx="8">
                  <c:v>45502</c:v>
                </c:pt>
                <c:pt idx="9">
                  <c:v>45509</c:v>
                </c:pt>
                <c:pt idx="10">
                  <c:v>45516</c:v>
                </c:pt>
                <c:pt idx="11">
                  <c:v>45523</c:v>
                </c:pt>
                <c:pt idx="12">
                  <c:v>45530</c:v>
                </c:pt>
                <c:pt idx="13">
                  <c:v>45537</c:v>
                </c:pt>
                <c:pt idx="14">
                  <c:v>45544</c:v>
                </c:pt>
                <c:pt idx="15">
                  <c:v>45551</c:v>
                </c:pt>
                <c:pt idx="16">
                  <c:v>45558</c:v>
                </c:pt>
                <c:pt idx="17">
                  <c:v>45565</c:v>
                </c:pt>
                <c:pt idx="18">
                  <c:v>45572</c:v>
                </c:pt>
                <c:pt idx="19">
                  <c:v>45579</c:v>
                </c:pt>
                <c:pt idx="20">
                  <c:v>45586</c:v>
                </c:pt>
                <c:pt idx="21">
                  <c:v>45593</c:v>
                </c:pt>
                <c:pt idx="22">
                  <c:v>45600</c:v>
                </c:pt>
                <c:pt idx="23">
                  <c:v>45607</c:v>
                </c:pt>
                <c:pt idx="24">
                  <c:v>45614</c:v>
                </c:pt>
                <c:pt idx="25">
                  <c:v>45621</c:v>
                </c:pt>
                <c:pt idx="26">
                  <c:v>45628</c:v>
                </c:pt>
                <c:pt idx="27">
                  <c:v>45635</c:v>
                </c:pt>
                <c:pt idx="28">
                  <c:v>45642</c:v>
                </c:pt>
                <c:pt idx="29">
                  <c:v>45649</c:v>
                </c:pt>
                <c:pt idx="30">
                  <c:v>45656</c:v>
                </c:pt>
                <c:pt idx="31">
                  <c:v>45663</c:v>
                </c:pt>
                <c:pt idx="32">
                  <c:v>45670</c:v>
                </c:pt>
                <c:pt idx="33">
                  <c:v>45677</c:v>
                </c:pt>
                <c:pt idx="34">
                  <c:v>45684</c:v>
                </c:pt>
                <c:pt idx="35">
                  <c:v>45691</c:v>
                </c:pt>
                <c:pt idx="36">
                  <c:v>45698</c:v>
                </c:pt>
                <c:pt idx="37">
                  <c:v>45705</c:v>
                </c:pt>
                <c:pt idx="38">
                  <c:v>45712</c:v>
                </c:pt>
                <c:pt idx="39">
                  <c:v>45719</c:v>
                </c:pt>
                <c:pt idx="40">
                  <c:v>45726</c:v>
                </c:pt>
                <c:pt idx="41">
                  <c:v>45733</c:v>
                </c:pt>
                <c:pt idx="42">
                  <c:v>45740</c:v>
                </c:pt>
                <c:pt idx="43">
                  <c:v>45747</c:v>
                </c:pt>
                <c:pt idx="44">
                  <c:v>45754</c:v>
                </c:pt>
                <c:pt idx="45">
                  <c:v>45761</c:v>
                </c:pt>
                <c:pt idx="46">
                  <c:v>45768</c:v>
                </c:pt>
                <c:pt idx="47">
                  <c:v>45775</c:v>
                </c:pt>
                <c:pt idx="48">
                  <c:v>45782</c:v>
                </c:pt>
                <c:pt idx="49">
                  <c:v>45789</c:v>
                </c:pt>
                <c:pt idx="50">
                  <c:v>45796</c:v>
                </c:pt>
                <c:pt idx="51">
                  <c:v>45803</c:v>
                </c:pt>
                <c:pt idx="52">
                  <c:v>45810</c:v>
                </c:pt>
                <c:pt idx="53">
                  <c:v>45817</c:v>
                </c:pt>
                <c:pt idx="54">
                  <c:v>45824</c:v>
                </c:pt>
                <c:pt idx="55">
                  <c:v>45831</c:v>
                </c:pt>
                <c:pt idx="56">
                  <c:v>45838</c:v>
                </c:pt>
                <c:pt idx="57">
                  <c:v>45845</c:v>
                </c:pt>
                <c:pt idx="58">
                  <c:v>45852</c:v>
                </c:pt>
                <c:pt idx="59">
                  <c:v>45859</c:v>
                </c:pt>
                <c:pt idx="60">
                  <c:v>45866</c:v>
                </c:pt>
                <c:pt idx="61">
                  <c:v>45873</c:v>
                </c:pt>
                <c:pt idx="62">
                  <c:v>45880</c:v>
                </c:pt>
                <c:pt idx="63">
                  <c:v>45887</c:v>
                </c:pt>
                <c:pt idx="64">
                  <c:v>45894</c:v>
                </c:pt>
                <c:pt idx="65">
                  <c:v>45901</c:v>
                </c:pt>
                <c:pt idx="66">
                  <c:v>45908</c:v>
                </c:pt>
              </c:numCache>
            </c:numRef>
          </c:cat>
          <c:val>
            <c:numRef>
              <c:f>Moving_Average!$C$2:$C$68</c:f>
              <c:numCache>
                <c:formatCode>General</c:formatCode>
                <c:ptCount val="67"/>
                <c:pt idx="0">
                  <c:v>3419</c:v>
                </c:pt>
                <c:pt idx="1">
                  <c:v>3098</c:v>
                </c:pt>
                <c:pt idx="2">
                  <c:v>2795</c:v>
                </c:pt>
                <c:pt idx="3">
                  <c:v>2804</c:v>
                </c:pt>
                <c:pt idx="4">
                  <c:v>2429.5</c:v>
                </c:pt>
                <c:pt idx="5">
                  <c:v>2790.5</c:v>
                </c:pt>
                <c:pt idx="6">
                  <c:v>2762</c:v>
                </c:pt>
                <c:pt idx="7">
                  <c:v>2325</c:v>
                </c:pt>
                <c:pt idx="8">
                  <c:v>2206.5</c:v>
                </c:pt>
                <c:pt idx="9">
                  <c:v>2412.5</c:v>
                </c:pt>
                <c:pt idx="10">
                  <c:v>2882.5</c:v>
                </c:pt>
                <c:pt idx="11">
                  <c:v>2686</c:v>
                </c:pt>
                <c:pt idx="12">
                  <c:v>2375</c:v>
                </c:pt>
                <c:pt idx="13">
                  <c:v>2476</c:v>
                </c:pt>
                <c:pt idx="14">
                  <c:v>2566</c:v>
                </c:pt>
                <c:pt idx="15">
                  <c:v>2396</c:v>
                </c:pt>
                <c:pt idx="16">
                  <c:v>2473.5</c:v>
                </c:pt>
                <c:pt idx="17">
                  <c:v>2968</c:v>
                </c:pt>
                <c:pt idx="18">
                  <c:v>2744.5</c:v>
                </c:pt>
                <c:pt idx="19">
                  <c:v>2504</c:v>
                </c:pt>
                <c:pt idx="20">
                  <c:v>2731</c:v>
                </c:pt>
                <c:pt idx="21">
                  <c:v>2486.5</c:v>
                </c:pt>
                <c:pt idx="22">
                  <c:v>2878.5</c:v>
                </c:pt>
                <c:pt idx="23">
                  <c:v>3185</c:v>
                </c:pt>
                <c:pt idx="24">
                  <c:v>2364.5</c:v>
                </c:pt>
                <c:pt idx="25">
                  <c:v>2111</c:v>
                </c:pt>
                <c:pt idx="26">
                  <c:v>2335</c:v>
                </c:pt>
                <c:pt idx="27">
                  <c:v>1890.5</c:v>
                </c:pt>
                <c:pt idx="28">
                  <c:v>2045.5</c:v>
                </c:pt>
                <c:pt idx="29">
                  <c:v>2621.5</c:v>
                </c:pt>
                <c:pt idx="30">
                  <c:v>2443.5</c:v>
                </c:pt>
                <c:pt idx="31">
                  <c:v>2394</c:v>
                </c:pt>
                <c:pt idx="32">
                  <c:v>2396</c:v>
                </c:pt>
                <c:pt idx="33">
                  <c:v>2086.5</c:v>
                </c:pt>
                <c:pt idx="34">
                  <c:v>1880</c:v>
                </c:pt>
                <c:pt idx="35">
                  <c:v>1804</c:v>
                </c:pt>
                <c:pt idx="36">
                  <c:v>2020.5</c:v>
                </c:pt>
                <c:pt idx="37">
                  <c:v>1952</c:v>
                </c:pt>
                <c:pt idx="38">
                  <c:v>1628</c:v>
                </c:pt>
                <c:pt idx="39">
                  <c:v>2238</c:v>
                </c:pt>
                <c:pt idx="40">
                  <c:v>2539</c:v>
                </c:pt>
                <c:pt idx="41">
                  <c:v>2251.5</c:v>
                </c:pt>
                <c:pt idx="42">
                  <c:v>2433.5</c:v>
                </c:pt>
                <c:pt idx="43">
                  <c:v>2730</c:v>
                </c:pt>
                <c:pt idx="44">
                  <c:v>3036</c:v>
                </c:pt>
                <c:pt idx="45">
                  <c:v>3253.5</c:v>
                </c:pt>
                <c:pt idx="46">
                  <c:v>2472</c:v>
                </c:pt>
                <c:pt idx="47">
                  <c:v>2053</c:v>
                </c:pt>
                <c:pt idx="48">
                  <c:v>2216</c:v>
                </c:pt>
                <c:pt idx="49">
                  <c:v>1727</c:v>
                </c:pt>
                <c:pt idx="50">
                  <c:v>2484.5</c:v>
                </c:pt>
                <c:pt idx="51">
                  <c:v>3239</c:v>
                </c:pt>
                <c:pt idx="52">
                  <c:v>2479</c:v>
                </c:pt>
                <c:pt idx="53">
                  <c:v>2146</c:v>
                </c:pt>
                <c:pt idx="54">
                  <c:v>2130</c:v>
                </c:pt>
                <c:pt idx="55">
                  <c:v>1700.5</c:v>
                </c:pt>
                <c:pt idx="56">
                  <c:v>1849.5</c:v>
                </c:pt>
                <c:pt idx="57">
                  <c:v>2492</c:v>
                </c:pt>
                <c:pt idx="58">
                  <c:v>2661.5</c:v>
                </c:pt>
                <c:pt idx="59">
                  <c:v>2674</c:v>
                </c:pt>
                <c:pt idx="60">
                  <c:v>2965</c:v>
                </c:pt>
                <c:pt idx="61">
                  <c:v>2462.5</c:v>
                </c:pt>
                <c:pt idx="62">
                  <c:v>2018</c:v>
                </c:pt>
                <c:pt idx="63">
                  <c:v>2083</c:v>
                </c:pt>
                <c:pt idx="64">
                  <c:v>2232.5</c:v>
                </c:pt>
                <c:pt idx="65">
                  <c:v>2035</c:v>
                </c:pt>
                <c:pt idx="66">
                  <c:v>1430</c:v>
                </c:pt>
              </c:numCache>
            </c:numRef>
          </c:val>
          <c:smooth val="0"/>
          <c:extLst>
            <c:ext xmlns:c16="http://schemas.microsoft.com/office/drawing/2014/chart" uri="{C3380CC4-5D6E-409C-BE32-E72D297353CC}">
              <c16:uniqueId val="{00000001-346D-4661-8660-9674C2B4AFAB}"/>
            </c:ext>
          </c:extLst>
        </c:ser>
        <c:dLbls>
          <c:showLegendKey val="0"/>
          <c:showVal val="0"/>
          <c:showCatName val="0"/>
          <c:showSerName val="0"/>
          <c:showPercent val="0"/>
          <c:showBubbleSize val="0"/>
        </c:dLbls>
        <c:smooth val="0"/>
        <c:axId val="1377586960"/>
        <c:axId val="1377589360"/>
      </c:lineChart>
      <c:dateAx>
        <c:axId val="1377586960"/>
        <c:scaling>
          <c:orientation val="minMax"/>
        </c:scaling>
        <c:delete val="0"/>
        <c:axPos val="b"/>
        <c:numFmt formatCode="m/d/yy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77589360"/>
        <c:crosses val="autoZero"/>
        <c:auto val="1"/>
        <c:lblOffset val="100"/>
        <c:baseTimeUnit val="days"/>
      </c:dateAx>
      <c:valAx>
        <c:axId val="13775893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775869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6.xlsx]Week_Follower_Gain!PivotTable1</c:name>
    <c:fmtId val="6"/>
  </c:pivotSource>
  <c:chart>
    <c:autoTitleDeleted val="1"/>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Week_Follower_Gain!$B$3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Week_Follower_Gain!$A$4:$A$70</c:f>
              <c:strCache>
                <c:ptCount val="67"/>
                <c:pt idx="0">
                  <c:v>03-06-2024</c:v>
                </c:pt>
                <c:pt idx="1">
                  <c:v>10-06-2024</c:v>
                </c:pt>
                <c:pt idx="2">
                  <c:v>17-06-2024</c:v>
                </c:pt>
                <c:pt idx="3">
                  <c:v>24-06-2024</c:v>
                </c:pt>
                <c:pt idx="4">
                  <c:v>01-07-2024</c:v>
                </c:pt>
                <c:pt idx="5">
                  <c:v>08-07-2024</c:v>
                </c:pt>
                <c:pt idx="6">
                  <c:v>15-07-2024</c:v>
                </c:pt>
                <c:pt idx="7">
                  <c:v>22-07-2024</c:v>
                </c:pt>
                <c:pt idx="8">
                  <c:v>29-07-2024</c:v>
                </c:pt>
                <c:pt idx="9">
                  <c:v>05-08-2024</c:v>
                </c:pt>
                <c:pt idx="10">
                  <c:v>12-08-2024</c:v>
                </c:pt>
                <c:pt idx="11">
                  <c:v>19-08-2024</c:v>
                </c:pt>
                <c:pt idx="12">
                  <c:v>26-08-2024</c:v>
                </c:pt>
                <c:pt idx="13">
                  <c:v>02-09-2024</c:v>
                </c:pt>
                <c:pt idx="14">
                  <c:v>09-09-2024</c:v>
                </c:pt>
                <c:pt idx="15">
                  <c:v>16-09-2024</c:v>
                </c:pt>
                <c:pt idx="16">
                  <c:v>23-09-2024</c:v>
                </c:pt>
                <c:pt idx="17">
                  <c:v>30-09-2024</c:v>
                </c:pt>
                <c:pt idx="18">
                  <c:v>07-10-2024</c:v>
                </c:pt>
                <c:pt idx="19">
                  <c:v>14-10-2024</c:v>
                </c:pt>
                <c:pt idx="20">
                  <c:v>21-10-2024</c:v>
                </c:pt>
                <c:pt idx="21">
                  <c:v>28-10-2024</c:v>
                </c:pt>
                <c:pt idx="22">
                  <c:v>04-11-2024</c:v>
                </c:pt>
                <c:pt idx="23">
                  <c:v>11-11-2024</c:v>
                </c:pt>
                <c:pt idx="24">
                  <c:v>18-11-2024</c:v>
                </c:pt>
                <c:pt idx="25">
                  <c:v>25-11-2024</c:v>
                </c:pt>
                <c:pt idx="26">
                  <c:v>02-12-2024</c:v>
                </c:pt>
                <c:pt idx="27">
                  <c:v>09-12-2024</c:v>
                </c:pt>
                <c:pt idx="28">
                  <c:v>16-12-2024</c:v>
                </c:pt>
                <c:pt idx="29">
                  <c:v>23-12-2024</c:v>
                </c:pt>
                <c:pt idx="30">
                  <c:v>30-12-2024</c:v>
                </c:pt>
                <c:pt idx="31">
                  <c:v>06-01-2025</c:v>
                </c:pt>
                <c:pt idx="32">
                  <c:v>13-01-2025</c:v>
                </c:pt>
                <c:pt idx="33">
                  <c:v>20-01-2025</c:v>
                </c:pt>
                <c:pt idx="34">
                  <c:v>27-01-2025</c:v>
                </c:pt>
                <c:pt idx="35">
                  <c:v>03-02-2025</c:v>
                </c:pt>
                <c:pt idx="36">
                  <c:v>10-02-2025</c:v>
                </c:pt>
                <c:pt idx="37">
                  <c:v>17-02-2025</c:v>
                </c:pt>
                <c:pt idx="38">
                  <c:v>24-02-2025</c:v>
                </c:pt>
                <c:pt idx="39">
                  <c:v>03-03-2025</c:v>
                </c:pt>
                <c:pt idx="40">
                  <c:v>10-03-2025</c:v>
                </c:pt>
                <c:pt idx="41">
                  <c:v>17-03-2025</c:v>
                </c:pt>
                <c:pt idx="42">
                  <c:v>24-03-2025</c:v>
                </c:pt>
                <c:pt idx="43">
                  <c:v>31-03-2025</c:v>
                </c:pt>
                <c:pt idx="44">
                  <c:v>07-04-2025</c:v>
                </c:pt>
                <c:pt idx="45">
                  <c:v>14-04-2025</c:v>
                </c:pt>
                <c:pt idx="46">
                  <c:v>21-04-2025</c:v>
                </c:pt>
                <c:pt idx="47">
                  <c:v>28-04-2025</c:v>
                </c:pt>
                <c:pt idx="48">
                  <c:v>05-05-2025</c:v>
                </c:pt>
                <c:pt idx="49">
                  <c:v>12-05-2025</c:v>
                </c:pt>
                <c:pt idx="50">
                  <c:v>19-05-2025</c:v>
                </c:pt>
                <c:pt idx="51">
                  <c:v>26-05-2025</c:v>
                </c:pt>
                <c:pt idx="52">
                  <c:v>02-06-2025</c:v>
                </c:pt>
                <c:pt idx="53">
                  <c:v>09-06-2025</c:v>
                </c:pt>
                <c:pt idx="54">
                  <c:v>16-06-2025</c:v>
                </c:pt>
                <c:pt idx="55">
                  <c:v>23-06-2025</c:v>
                </c:pt>
                <c:pt idx="56">
                  <c:v>30-06-2025</c:v>
                </c:pt>
                <c:pt idx="57">
                  <c:v>07-07-2025</c:v>
                </c:pt>
                <c:pt idx="58">
                  <c:v>14-07-2025</c:v>
                </c:pt>
                <c:pt idx="59">
                  <c:v>21-07-2025</c:v>
                </c:pt>
                <c:pt idx="60">
                  <c:v>28-07-2025</c:v>
                </c:pt>
                <c:pt idx="61">
                  <c:v>04-08-2025</c:v>
                </c:pt>
                <c:pt idx="62">
                  <c:v>11-08-2025</c:v>
                </c:pt>
                <c:pt idx="63">
                  <c:v>18-08-2025</c:v>
                </c:pt>
                <c:pt idx="64">
                  <c:v>25-08-2025</c:v>
                </c:pt>
                <c:pt idx="65">
                  <c:v>01-09-2025</c:v>
                </c:pt>
                <c:pt idx="66">
                  <c:v>08-09-2025</c:v>
                </c:pt>
              </c:strCache>
            </c:strRef>
          </c:cat>
          <c:val>
            <c:numRef>
              <c:f>Week_Follower_Gain!$B$4:$B$70</c:f>
              <c:numCache>
                <c:formatCode>0</c:formatCode>
                <c:ptCount val="67"/>
                <c:pt idx="0">
                  <c:v>3419</c:v>
                </c:pt>
                <c:pt idx="1">
                  <c:v>2777</c:v>
                </c:pt>
                <c:pt idx="2">
                  <c:v>3175</c:v>
                </c:pt>
                <c:pt idx="3">
                  <c:v>2433</c:v>
                </c:pt>
                <c:pt idx="4">
                  <c:v>2426</c:v>
                </c:pt>
                <c:pt idx="5">
                  <c:v>3155</c:v>
                </c:pt>
                <c:pt idx="6">
                  <c:v>2369</c:v>
                </c:pt>
                <c:pt idx="7">
                  <c:v>2281</c:v>
                </c:pt>
                <c:pt idx="8">
                  <c:v>2132</c:v>
                </c:pt>
                <c:pt idx="9">
                  <c:v>2693</c:v>
                </c:pt>
                <c:pt idx="10">
                  <c:v>3072</c:v>
                </c:pt>
                <c:pt idx="11">
                  <c:v>2300</c:v>
                </c:pt>
                <c:pt idx="12">
                  <c:v>2450</c:v>
                </c:pt>
                <c:pt idx="13">
                  <c:v>2502</c:v>
                </c:pt>
                <c:pt idx="14">
                  <c:v>2630</c:v>
                </c:pt>
                <c:pt idx="15">
                  <c:v>2162</c:v>
                </c:pt>
                <c:pt idx="16">
                  <c:v>2785</c:v>
                </c:pt>
                <c:pt idx="17">
                  <c:v>3151</c:v>
                </c:pt>
                <c:pt idx="18">
                  <c:v>2338</c:v>
                </c:pt>
                <c:pt idx="19">
                  <c:v>2670</c:v>
                </c:pt>
                <c:pt idx="20">
                  <c:v>2792</c:v>
                </c:pt>
                <c:pt idx="21">
                  <c:v>2181</c:v>
                </c:pt>
                <c:pt idx="22">
                  <c:v>3576</c:v>
                </c:pt>
                <c:pt idx="23">
                  <c:v>2794</c:v>
                </c:pt>
                <c:pt idx="24">
                  <c:v>1935</c:v>
                </c:pt>
                <c:pt idx="25">
                  <c:v>2287</c:v>
                </c:pt>
                <c:pt idx="26">
                  <c:v>2383</c:v>
                </c:pt>
                <c:pt idx="27">
                  <c:v>1398</c:v>
                </c:pt>
                <c:pt idx="28">
                  <c:v>2693</c:v>
                </c:pt>
                <c:pt idx="29">
                  <c:v>2550</c:v>
                </c:pt>
                <c:pt idx="30">
                  <c:v>2337</c:v>
                </c:pt>
                <c:pt idx="31">
                  <c:v>2451</c:v>
                </c:pt>
                <c:pt idx="32">
                  <c:v>2341</c:v>
                </c:pt>
                <c:pt idx="33">
                  <c:v>1832</c:v>
                </c:pt>
                <c:pt idx="34">
                  <c:v>1928</c:v>
                </c:pt>
                <c:pt idx="35">
                  <c:v>1680</c:v>
                </c:pt>
                <c:pt idx="36">
                  <c:v>2361</c:v>
                </c:pt>
                <c:pt idx="37">
                  <c:v>1543</c:v>
                </c:pt>
                <c:pt idx="38">
                  <c:v>1713</c:v>
                </c:pt>
                <c:pt idx="39">
                  <c:v>2763</c:v>
                </c:pt>
                <c:pt idx="40">
                  <c:v>2315</c:v>
                </c:pt>
                <c:pt idx="41">
                  <c:v>2188</c:v>
                </c:pt>
                <c:pt idx="42">
                  <c:v>2679</c:v>
                </c:pt>
                <c:pt idx="43">
                  <c:v>2781</c:v>
                </c:pt>
                <c:pt idx="44">
                  <c:v>3291</c:v>
                </c:pt>
                <c:pt idx="45">
                  <c:v>3216</c:v>
                </c:pt>
                <c:pt idx="46">
                  <c:v>1728</c:v>
                </c:pt>
                <c:pt idx="47">
                  <c:v>2378</c:v>
                </c:pt>
                <c:pt idx="48">
                  <c:v>2054</c:v>
                </c:pt>
                <c:pt idx="49">
                  <c:v>1400</c:v>
                </c:pt>
                <c:pt idx="50">
                  <c:v>3569</c:v>
                </c:pt>
                <c:pt idx="51">
                  <c:v>2909</c:v>
                </c:pt>
                <c:pt idx="52">
                  <c:v>2049</c:v>
                </c:pt>
                <c:pt idx="53">
                  <c:v>2243</c:v>
                </c:pt>
                <c:pt idx="54">
                  <c:v>2017</c:v>
                </c:pt>
                <c:pt idx="55">
                  <c:v>1384</c:v>
                </c:pt>
                <c:pt idx="56">
                  <c:v>2315</c:v>
                </c:pt>
                <c:pt idx="57">
                  <c:v>2669</c:v>
                </c:pt>
                <c:pt idx="58">
                  <c:v>2654</c:v>
                </c:pt>
                <c:pt idx="59">
                  <c:v>2694</c:v>
                </c:pt>
                <c:pt idx="60">
                  <c:v>3236</c:v>
                </c:pt>
                <c:pt idx="61">
                  <c:v>1689</c:v>
                </c:pt>
                <c:pt idx="62">
                  <c:v>2347</c:v>
                </c:pt>
                <c:pt idx="63">
                  <c:v>1819</c:v>
                </c:pt>
                <c:pt idx="64">
                  <c:v>2646</c:v>
                </c:pt>
                <c:pt idx="65">
                  <c:v>1424</c:v>
                </c:pt>
                <c:pt idx="66">
                  <c:v>1436</c:v>
                </c:pt>
              </c:numCache>
            </c:numRef>
          </c:val>
          <c:smooth val="0"/>
          <c:extLst>
            <c:ext xmlns:c16="http://schemas.microsoft.com/office/drawing/2014/chart" uri="{C3380CC4-5D6E-409C-BE32-E72D297353CC}">
              <c16:uniqueId val="{00000000-77FF-43DE-A5CF-BE8312CF70EC}"/>
            </c:ext>
          </c:extLst>
        </c:ser>
        <c:dLbls>
          <c:showLegendKey val="0"/>
          <c:showVal val="0"/>
          <c:showCatName val="0"/>
          <c:showSerName val="0"/>
          <c:showPercent val="0"/>
          <c:showBubbleSize val="0"/>
        </c:dLbls>
        <c:marker val="1"/>
        <c:smooth val="0"/>
        <c:axId val="1137693296"/>
        <c:axId val="1137695696"/>
      </c:lineChart>
      <c:catAx>
        <c:axId val="113769329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7695696"/>
        <c:crosses val="autoZero"/>
        <c:auto val="1"/>
        <c:lblAlgn val="ctr"/>
        <c:lblOffset val="100"/>
        <c:noMultiLvlLbl val="0"/>
      </c:catAx>
      <c:valAx>
        <c:axId val="11376956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7693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Moving</a:t>
            </a:r>
            <a:r>
              <a:rPr lang="en-IN" baseline="0"/>
              <a:t> Average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Moving_Average!$B$1</c:f>
              <c:strCache>
                <c:ptCount val="1"/>
                <c:pt idx="0">
                  <c:v>Total_Weekly_Followers_Gain</c:v>
                </c:pt>
              </c:strCache>
            </c:strRef>
          </c:tx>
          <c:spPr>
            <a:ln w="22225" cap="rnd">
              <a:solidFill>
                <a:schemeClr val="accent1"/>
              </a:solidFill>
            </a:ln>
            <a:effectLst>
              <a:glow rad="139700">
                <a:schemeClr val="accent1">
                  <a:satMod val="175000"/>
                  <a:alpha val="14000"/>
                </a:schemeClr>
              </a:glow>
            </a:effectLst>
          </c:spPr>
          <c:marker>
            <c:symbol val="none"/>
          </c:marker>
          <c:cat>
            <c:numRef>
              <c:f>Moving_Average!$A$2:$A$68</c:f>
              <c:numCache>
                <c:formatCode>m/d/yyyy</c:formatCode>
                <c:ptCount val="67"/>
                <c:pt idx="0">
                  <c:v>45446</c:v>
                </c:pt>
                <c:pt idx="1">
                  <c:v>45453</c:v>
                </c:pt>
                <c:pt idx="2">
                  <c:v>45460</c:v>
                </c:pt>
                <c:pt idx="3">
                  <c:v>45467</c:v>
                </c:pt>
                <c:pt idx="4">
                  <c:v>45474</c:v>
                </c:pt>
                <c:pt idx="5">
                  <c:v>45481</c:v>
                </c:pt>
                <c:pt idx="6">
                  <c:v>45488</c:v>
                </c:pt>
                <c:pt idx="7">
                  <c:v>45495</c:v>
                </c:pt>
                <c:pt idx="8">
                  <c:v>45502</c:v>
                </c:pt>
                <c:pt idx="9">
                  <c:v>45509</c:v>
                </c:pt>
                <c:pt idx="10">
                  <c:v>45516</c:v>
                </c:pt>
                <c:pt idx="11">
                  <c:v>45523</c:v>
                </c:pt>
                <c:pt idx="12">
                  <c:v>45530</c:v>
                </c:pt>
                <c:pt idx="13">
                  <c:v>45537</c:v>
                </c:pt>
                <c:pt idx="14">
                  <c:v>45544</c:v>
                </c:pt>
                <c:pt idx="15">
                  <c:v>45551</c:v>
                </c:pt>
                <c:pt idx="16">
                  <c:v>45558</c:v>
                </c:pt>
                <c:pt idx="17">
                  <c:v>45565</c:v>
                </c:pt>
                <c:pt idx="18">
                  <c:v>45572</c:v>
                </c:pt>
                <c:pt idx="19">
                  <c:v>45579</c:v>
                </c:pt>
                <c:pt idx="20">
                  <c:v>45586</c:v>
                </c:pt>
                <c:pt idx="21">
                  <c:v>45593</c:v>
                </c:pt>
                <c:pt idx="22">
                  <c:v>45600</c:v>
                </c:pt>
                <c:pt idx="23">
                  <c:v>45607</c:v>
                </c:pt>
                <c:pt idx="24">
                  <c:v>45614</c:v>
                </c:pt>
                <c:pt idx="25">
                  <c:v>45621</c:v>
                </c:pt>
                <c:pt idx="26">
                  <c:v>45628</c:v>
                </c:pt>
                <c:pt idx="27">
                  <c:v>45635</c:v>
                </c:pt>
                <c:pt idx="28">
                  <c:v>45642</c:v>
                </c:pt>
                <c:pt idx="29">
                  <c:v>45649</c:v>
                </c:pt>
                <c:pt idx="30">
                  <c:v>45656</c:v>
                </c:pt>
                <c:pt idx="31">
                  <c:v>45663</c:v>
                </c:pt>
                <c:pt idx="32">
                  <c:v>45670</c:v>
                </c:pt>
                <c:pt idx="33">
                  <c:v>45677</c:v>
                </c:pt>
                <c:pt idx="34">
                  <c:v>45684</c:v>
                </c:pt>
                <c:pt idx="35">
                  <c:v>45691</c:v>
                </c:pt>
                <c:pt idx="36">
                  <c:v>45698</c:v>
                </c:pt>
                <c:pt idx="37">
                  <c:v>45705</c:v>
                </c:pt>
                <c:pt idx="38">
                  <c:v>45712</c:v>
                </c:pt>
                <c:pt idx="39">
                  <c:v>45719</c:v>
                </c:pt>
                <c:pt idx="40">
                  <c:v>45726</c:v>
                </c:pt>
                <c:pt idx="41">
                  <c:v>45733</c:v>
                </c:pt>
                <c:pt idx="42">
                  <c:v>45740</c:v>
                </c:pt>
                <c:pt idx="43">
                  <c:v>45747</c:v>
                </c:pt>
                <c:pt idx="44">
                  <c:v>45754</c:v>
                </c:pt>
                <c:pt idx="45">
                  <c:v>45761</c:v>
                </c:pt>
                <c:pt idx="46">
                  <c:v>45768</c:v>
                </c:pt>
                <c:pt idx="47">
                  <c:v>45775</c:v>
                </c:pt>
                <c:pt idx="48">
                  <c:v>45782</c:v>
                </c:pt>
                <c:pt idx="49">
                  <c:v>45789</c:v>
                </c:pt>
                <c:pt idx="50">
                  <c:v>45796</c:v>
                </c:pt>
                <c:pt idx="51">
                  <c:v>45803</c:v>
                </c:pt>
                <c:pt idx="52">
                  <c:v>45810</c:v>
                </c:pt>
                <c:pt idx="53">
                  <c:v>45817</c:v>
                </c:pt>
                <c:pt idx="54">
                  <c:v>45824</c:v>
                </c:pt>
                <c:pt idx="55">
                  <c:v>45831</c:v>
                </c:pt>
                <c:pt idx="56">
                  <c:v>45838</c:v>
                </c:pt>
                <c:pt idx="57">
                  <c:v>45845</c:v>
                </c:pt>
                <c:pt idx="58">
                  <c:v>45852</c:v>
                </c:pt>
                <c:pt idx="59">
                  <c:v>45859</c:v>
                </c:pt>
                <c:pt idx="60">
                  <c:v>45866</c:v>
                </c:pt>
                <c:pt idx="61">
                  <c:v>45873</c:v>
                </c:pt>
                <c:pt idx="62">
                  <c:v>45880</c:v>
                </c:pt>
                <c:pt idx="63">
                  <c:v>45887</c:v>
                </c:pt>
                <c:pt idx="64">
                  <c:v>45894</c:v>
                </c:pt>
                <c:pt idx="65">
                  <c:v>45901</c:v>
                </c:pt>
                <c:pt idx="66">
                  <c:v>45908</c:v>
                </c:pt>
              </c:numCache>
            </c:numRef>
          </c:cat>
          <c:val>
            <c:numRef>
              <c:f>Moving_Average!$B$2:$B$68</c:f>
              <c:numCache>
                <c:formatCode>General</c:formatCode>
                <c:ptCount val="67"/>
                <c:pt idx="0">
                  <c:v>3419</c:v>
                </c:pt>
                <c:pt idx="1">
                  <c:v>2777</c:v>
                </c:pt>
                <c:pt idx="2">
                  <c:v>3175</c:v>
                </c:pt>
                <c:pt idx="3">
                  <c:v>2433</c:v>
                </c:pt>
                <c:pt idx="4">
                  <c:v>2426</c:v>
                </c:pt>
                <c:pt idx="5">
                  <c:v>3155</c:v>
                </c:pt>
                <c:pt idx="6">
                  <c:v>2369</c:v>
                </c:pt>
                <c:pt idx="7">
                  <c:v>2281</c:v>
                </c:pt>
                <c:pt idx="8">
                  <c:v>2132</c:v>
                </c:pt>
                <c:pt idx="9">
                  <c:v>2693</c:v>
                </c:pt>
                <c:pt idx="10">
                  <c:v>3072</c:v>
                </c:pt>
                <c:pt idx="11">
                  <c:v>2300</c:v>
                </c:pt>
                <c:pt idx="12">
                  <c:v>2450</c:v>
                </c:pt>
                <c:pt idx="13">
                  <c:v>2502</c:v>
                </c:pt>
                <c:pt idx="14">
                  <c:v>2630</c:v>
                </c:pt>
                <c:pt idx="15">
                  <c:v>2162</c:v>
                </c:pt>
                <c:pt idx="16">
                  <c:v>2785</c:v>
                </c:pt>
                <c:pt idx="17">
                  <c:v>3151</c:v>
                </c:pt>
                <c:pt idx="18">
                  <c:v>2338</c:v>
                </c:pt>
                <c:pt idx="19">
                  <c:v>2670</c:v>
                </c:pt>
                <c:pt idx="20">
                  <c:v>2792</c:v>
                </c:pt>
                <c:pt idx="21">
                  <c:v>2181</c:v>
                </c:pt>
                <c:pt idx="22">
                  <c:v>3576</c:v>
                </c:pt>
                <c:pt idx="23">
                  <c:v>2794</c:v>
                </c:pt>
                <c:pt idx="24">
                  <c:v>1935</c:v>
                </c:pt>
                <c:pt idx="25">
                  <c:v>2287</c:v>
                </c:pt>
                <c:pt idx="26">
                  <c:v>2383</c:v>
                </c:pt>
                <c:pt idx="27">
                  <c:v>1398</c:v>
                </c:pt>
                <c:pt idx="28">
                  <c:v>2693</c:v>
                </c:pt>
                <c:pt idx="29">
                  <c:v>2550</c:v>
                </c:pt>
                <c:pt idx="30">
                  <c:v>2337</c:v>
                </c:pt>
                <c:pt idx="31">
                  <c:v>2451</c:v>
                </c:pt>
                <c:pt idx="32">
                  <c:v>2341</c:v>
                </c:pt>
                <c:pt idx="33">
                  <c:v>1832</c:v>
                </c:pt>
                <c:pt idx="34">
                  <c:v>1928</c:v>
                </c:pt>
                <c:pt idx="35">
                  <c:v>1680</c:v>
                </c:pt>
                <c:pt idx="36">
                  <c:v>2361</c:v>
                </c:pt>
                <c:pt idx="37">
                  <c:v>1543</c:v>
                </c:pt>
                <c:pt idx="38">
                  <c:v>1713</c:v>
                </c:pt>
                <c:pt idx="39">
                  <c:v>2763</c:v>
                </c:pt>
                <c:pt idx="40">
                  <c:v>2315</c:v>
                </c:pt>
                <c:pt idx="41">
                  <c:v>2188</c:v>
                </c:pt>
                <c:pt idx="42">
                  <c:v>2679</c:v>
                </c:pt>
                <c:pt idx="43">
                  <c:v>2781</c:v>
                </c:pt>
                <c:pt idx="44">
                  <c:v>3291</c:v>
                </c:pt>
                <c:pt idx="45">
                  <c:v>3216</c:v>
                </c:pt>
                <c:pt idx="46">
                  <c:v>1728</c:v>
                </c:pt>
                <c:pt idx="47">
                  <c:v>2378</c:v>
                </c:pt>
                <c:pt idx="48">
                  <c:v>2054</c:v>
                </c:pt>
                <c:pt idx="49">
                  <c:v>1400</c:v>
                </c:pt>
                <c:pt idx="50">
                  <c:v>3569</c:v>
                </c:pt>
                <c:pt idx="51">
                  <c:v>2909</c:v>
                </c:pt>
                <c:pt idx="52">
                  <c:v>2049</c:v>
                </c:pt>
                <c:pt idx="53">
                  <c:v>2243</c:v>
                </c:pt>
                <c:pt idx="54">
                  <c:v>2017</c:v>
                </c:pt>
                <c:pt idx="55">
                  <c:v>1384</c:v>
                </c:pt>
                <c:pt idx="56">
                  <c:v>2315</c:v>
                </c:pt>
                <c:pt idx="57">
                  <c:v>2669</c:v>
                </c:pt>
                <c:pt idx="58">
                  <c:v>2654</c:v>
                </c:pt>
                <c:pt idx="59">
                  <c:v>2694</c:v>
                </c:pt>
                <c:pt idx="60">
                  <c:v>3236</c:v>
                </c:pt>
                <c:pt idx="61">
                  <c:v>1689</c:v>
                </c:pt>
                <c:pt idx="62">
                  <c:v>2347</c:v>
                </c:pt>
                <c:pt idx="63">
                  <c:v>1819</c:v>
                </c:pt>
                <c:pt idx="64">
                  <c:v>2646</c:v>
                </c:pt>
                <c:pt idx="65">
                  <c:v>1424</c:v>
                </c:pt>
                <c:pt idx="66">
                  <c:v>1436</c:v>
                </c:pt>
              </c:numCache>
            </c:numRef>
          </c:val>
          <c:smooth val="0"/>
          <c:extLst>
            <c:ext xmlns:c16="http://schemas.microsoft.com/office/drawing/2014/chart" uri="{C3380CC4-5D6E-409C-BE32-E72D297353CC}">
              <c16:uniqueId val="{00000000-3CAF-4EA1-B7A4-912AB445577F}"/>
            </c:ext>
          </c:extLst>
        </c:ser>
        <c:ser>
          <c:idx val="1"/>
          <c:order val="1"/>
          <c:tx>
            <c:strRef>
              <c:f>Moving_Average!$C$1</c:f>
              <c:strCache>
                <c:ptCount val="1"/>
                <c:pt idx="0">
                  <c:v>Moving_Average</c:v>
                </c:pt>
              </c:strCache>
            </c:strRef>
          </c:tx>
          <c:spPr>
            <a:ln w="22225" cap="rnd">
              <a:solidFill>
                <a:schemeClr val="accent2"/>
              </a:solidFill>
            </a:ln>
            <a:effectLst>
              <a:glow rad="139700">
                <a:schemeClr val="accent2">
                  <a:satMod val="175000"/>
                  <a:alpha val="14000"/>
                </a:schemeClr>
              </a:glow>
            </a:effectLst>
          </c:spPr>
          <c:marker>
            <c:symbol val="none"/>
          </c:marker>
          <c:cat>
            <c:numRef>
              <c:f>Moving_Average!$A$2:$A$68</c:f>
              <c:numCache>
                <c:formatCode>m/d/yyyy</c:formatCode>
                <c:ptCount val="67"/>
                <c:pt idx="0">
                  <c:v>45446</c:v>
                </c:pt>
                <c:pt idx="1">
                  <c:v>45453</c:v>
                </c:pt>
                <c:pt idx="2">
                  <c:v>45460</c:v>
                </c:pt>
                <c:pt idx="3">
                  <c:v>45467</c:v>
                </c:pt>
                <c:pt idx="4">
                  <c:v>45474</c:v>
                </c:pt>
                <c:pt idx="5">
                  <c:v>45481</c:v>
                </c:pt>
                <c:pt idx="6">
                  <c:v>45488</c:v>
                </c:pt>
                <c:pt idx="7">
                  <c:v>45495</c:v>
                </c:pt>
                <c:pt idx="8">
                  <c:v>45502</c:v>
                </c:pt>
                <c:pt idx="9">
                  <c:v>45509</c:v>
                </c:pt>
                <c:pt idx="10">
                  <c:v>45516</c:v>
                </c:pt>
                <c:pt idx="11">
                  <c:v>45523</c:v>
                </c:pt>
                <c:pt idx="12">
                  <c:v>45530</c:v>
                </c:pt>
                <c:pt idx="13">
                  <c:v>45537</c:v>
                </c:pt>
                <c:pt idx="14">
                  <c:v>45544</c:v>
                </c:pt>
                <c:pt idx="15">
                  <c:v>45551</c:v>
                </c:pt>
                <c:pt idx="16">
                  <c:v>45558</c:v>
                </c:pt>
                <c:pt idx="17">
                  <c:v>45565</c:v>
                </c:pt>
                <c:pt idx="18">
                  <c:v>45572</c:v>
                </c:pt>
                <c:pt idx="19">
                  <c:v>45579</c:v>
                </c:pt>
                <c:pt idx="20">
                  <c:v>45586</c:v>
                </c:pt>
                <c:pt idx="21">
                  <c:v>45593</c:v>
                </c:pt>
                <c:pt idx="22">
                  <c:v>45600</c:v>
                </c:pt>
                <c:pt idx="23">
                  <c:v>45607</c:v>
                </c:pt>
                <c:pt idx="24">
                  <c:v>45614</c:v>
                </c:pt>
                <c:pt idx="25">
                  <c:v>45621</c:v>
                </c:pt>
                <c:pt idx="26">
                  <c:v>45628</c:v>
                </c:pt>
                <c:pt idx="27">
                  <c:v>45635</c:v>
                </c:pt>
                <c:pt idx="28">
                  <c:v>45642</c:v>
                </c:pt>
                <c:pt idx="29">
                  <c:v>45649</c:v>
                </c:pt>
                <c:pt idx="30">
                  <c:v>45656</c:v>
                </c:pt>
                <c:pt idx="31">
                  <c:v>45663</c:v>
                </c:pt>
                <c:pt idx="32">
                  <c:v>45670</c:v>
                </c:pt>
                <c:pt idx="33">
                  <c:v>45677</c:v>
                </c:pt>
                <c:pt idx="34">
                  <c:v>45684</c:v>
                </c:pt>
                <c:pt idx="35">
                  <c:v>45691</c:v>
                </c:pt>
                <c:pt idx="36">
                  <c:v>45698</c:v>
                </c:pt>
                <c:pt idx="37">
                  <c:v>45705</c:v>
                </c:pt>
                <c:pt idx="38">
                  <c:v>45712</c:v>
                </c:pt>
                <c:pt idx="39">
                  <c:v>45719</c:v>
                </c:pt>
                <c:pt idx="40">
                  <c:v>45726</c:v>
                </c:pt>
                <c:pt idx="41">
                  <c:v>45733</c:v>
                </c:pt>
                <c:pt idx="42">
                  <c:v>45740</c:v>
                </c:pt>
                <c:pt idx="43">
                  <c:v>45747</c:v>
                </c:pt>
                <c:pt idx="44">
                  <c:v>45754</c:v>
                </c:pt>
                <c:pt idx="45">
                  <c:v>45761</c:v>
                </c:pt>
                <c:pt idx="46">
                  <c:v>45768</c:v>
                </c:pt>
                <c:pt idx="47">
                  <c:v>45775</c:v>
                </c:pt>
                <c:pt idx="48">
                  <c:v>45782</c:v>
                </c:pt>
                <c:pt idx="49">
                  <c:v>45789</c:v>
                </c:pt>
                <c:pt idx="50">
                  <c:v>45796</c:v>
                </c:pt>
                <c:pt idx="51">
                  <c:v>45803</c:v>
                </c:pt>
                <c:pt idx="52">
                  <c:v>45810</c:v>
                </c:pt>
                <c:pt idx="53">
                  <c:v>45817</c:v>
                </c:pt>
                <c:pt idx="54">
                  <c:v>45824</c:v>
                </c:pt>
                <c:pt idx="55">
                  <c:v>45831</c:v>
                </c:pt>
                <c:pt idx="56">
                  <c:v>45838</c:v>
                </c:pt>
                <c:pt idx="57">
                  <c:v>45845</c:v>
                </c:pt>
                <c:pt idx="58">
                  <c:v>45852</c:v>
                </c:pt>
                <c:pt idx="59">
                  <c:v>45859</c:v>
                </c:pt>
                <c:pt idx="60">
                  <c:v>45866</c:v>
                </c:pt>
                <c:pt idx="61">
                  <c:v>45873</c:v>
                </c:pt>
                <c:pt idx="62">
                  <c:v>45880</c:v>
                </c:pt>
                <c:pt idx="63">
                  <c:v>45887</c:v>
                </c:pt>
                <c:pt idx="64">
                  <c:v>45894</c:v>
                </c:pt>
                <c:pt idx="65">
                  <c:v>45901</c:v>
                </c:pt>
                <c:pt idx="66">
                  <c:v>45908</c:v>
                </c:pt>
              </c:numCache>
            </c:numRef>
          </c:cat>
          <c:val>
            <c:numRef>
              <c:f>Moving_Average!$C$2:$C$68</c:f>
              <c:numCache>
                <c:formatCode>General</c:formatCode>
                <c:ptCount val="67"/>
                <c:pt idx="0">
                  <c:v>3419</c:v>
                </c:pt>
                <c:pt idx="1">
                  <c:v>3098</c:v>
                </c:pt>
                <c:pt idx="2">
                  <c:v>2795</c:v>
                </c:pt>
                <c:pt idx="3">
                  <c:v>2804</c:v>
                </c:pt>
                <c:pt idx="4">
                  <c:v>2429.5</c:v>
                </c:pt>
                <c:pt idx="5">
                  <c:v>2790.5</c:v>
                </c:pt>
                <c:pt idx="6">
                  <c:v>2762</c:v>
                </c:pt>
                <c:pt idx="7">
                  <c:v>2325</c:v>
                </c:pt>
                <c:pt idx="8">
                  <c:v>2206.5</c:v>
                </c:pt>
                <c:pt idx="9">
                  <c:v>2412.5</c:v>
                </c:pt>
                <c:pt idx="10">
                  <c:v>2882.5</c:v>
                </c:pt>
                <c:pt idx="11">
                  <c:v>2686</c:v>
                </c:pt>
                <c:pt idx="12">
                  <c:v>2375</c:v>
                </c:pt>
                <c:pt idx="13">
                  <c:v>2476</c:v>
                </c:pt>
                <c:pt idx="14">
                  <c:v>2566</c:v>
                </c:pt>
                <c:pt idx="15">
                  <c:v>2396</c:v>
                </c:pt>
                <c:pt idx="16">
                  <c:v>2473.5</c:v>
                </c:pt>
                <c:pt idx="17">
                  <c:v>2968</c:v>
                </c:pt>
                <c:pt idx="18">
                  <c:v>2744.5</c:v>
                </c:pt>
                <c:pt idx="19">
                  <c:v>2504</c:v>
                </c:pt>
                <c:pt idx="20">
                  <c:v>2731</c:v>
                </c:pt>
                <c:pt idx="21">
                  <c:v>2486.5</c:v>
                </c:pt>
                <c:pt idx="22">
                  <c:v>2878.5</c:v>
                </c:pt>
                <c:pt idx="23">
                  <c:v>3185</c:v>
                </c:pt>
                <c:pt idx="24">
                  <c:v>2364.5</c:v>
                </c:pt>
                <c:pt idx="25">
                  <c:v>2111</c:v>
                </c:pt>
                <c:pt idx="26">
                  <c:v>2335</c:v>
                </c:pt>
                <c:pt idx="27">
                  <c:v>1890.5</c:v>
                </c:pt>
                <c:pt idx="28">
                  <c:v>2045.5</c:v>
                </c:pt>
                <c:pt idx="29">
                  <c:v>2621.5</c:v>
                </c:pt>
                <c:pt idx="30">
                  <c:v>2443.5</c:v>
                </c:pt>
                <c:pt idx="31">
                  <c:v>2394</c:v>
                </c:pt>
                <c:pt idx="32">
                  <c:v>2396</c:v>
                </c:pt>
                <c:pt idx="33">
                  <c:v>2086.5</c:v>
                </c:pt>
                <c:pt idx="34">
                  <c:v>1880</c:v>
                </c:pt>
                <c:pt idx="35">
                  <c:v>1804</c:v>
                </c:pt>
                <c:pt idx="36">
                  <c:v>2020.5</c:v>
                </c:pt>
                <c:pt idx="37">
                  <c:v>1952</c:v>
                </c:pt>
                <c:pt idx="38">
                  <c:v>1628</c:v>
                </c:pt>
                <c:pt idx="39">
                  <c:v>2238</c:v>
                </c:pt>
                <c:pt idx="40">
                  <c:v>2539</c:v>
                </c:pt>
                <c:pt idx="41">
                  <c:v>2251.5</c:v>
                </c:pt>
                <c:pt idx="42">
                  <c:v>2433.5</c:v>
                </c:pt>
                <c:pt idx="43">
                  <c:v>2730</c:v>
                </c:pt>
                <c:pt idx="44">
                  <c:v>3036</c:v>
                </c:pt>
                <c:pt idx="45">
                  <c:v>3253.5</c:v>
                </c:pt>
                <c:pt idx="46">
                  <c:v>2472</c:v>
                </c:pt>
                <c:pt idx="47">
                  <c:v>2053</c:v>
                </c:pt>
                <c:pt idx="48">
                  <c:v>2216</c:v>
                </c:pt>
                <c:pt idx="49">
                  <c:v>1727</c:v>
                </c:pt>
                <c:pt idx="50">
                  <c:v>2484.5</c:v>
                </c:pt>
                <c:pt idx="51">
                  <c:v>3239</c:v>
                </c:pt>
                <c:pt idx="52">
                  <c:v>2479</c:v>
                </c:pt>
                <c:pt idx="53">
                  <c:v>2146</c:v>
                </c:pt>
                <c:pt idx="54">
                  <c:v>2130</c:v>
                </c:pt>
                <c:pt idx="55">
                  <c:v>1700.5</c:v>
                </c:pt>
                <c:pt idx="56">
                  <c:v>1849.5</c:v>
                </c:pt>
                <c:pt idx="57">
                  <c:v>2492</c:v>
                </c:pt>
                <c:pt idx="58">
                  <c:v>2661.5</c:v>
                </c:pt>
                <c:pt idx="59">
                  <c:v>2674</c:v>
                </c:pt>
                <c:pt idx="60">
                  <c:v>2965</c:v>
                </c:pt>
                <c:pt idx="61">
                  <c:v>2462.5</c:v>
                </c:pt>
                <c:pt idx="62">
                  <c:v>2018</c:v>
                </c:pt>
                <c:pt idx="63">
                  <c:v>2083</c:v>
                </c:pt>
                <c:pt idx="64">
                  <c:v>2232.5</c:v>
                </c:pt>
                <c:pt idx="65">
                  <c:v>2035</c:v>
                </c:pt>
                <c:pt idx="66">
                  <c:v>1430</c:v>
                </c:pt>
              </c:numCache>
            </c:numRef>
          </c:val>
          <c:smooth val="0"/>
          <c:extLst>
            <c:ext xmlns:c16="http://schemas.microsoft.com/office/drawing/2014/chart" uri="{C3380CC4-5D6E-409C-BE32-E72D297353CC}">
              <c16:uniqueId val="{00000001-3CAF-4EA1-B7A4-912AB445577F}"/>
            </c:ext>
          </c:extLst>
        </c:ser>
        <c:dLbls>
          <c:showLegendKey val="0"/>
          <c:showVal val="0"/>
          <c:showCatName val="0"/>
          <c:showSerName val="0"/>
          <c:showPercent val="0"/>
          <c:showBubbleSize val="0"/>
        </c:dLbls>
        <c:smooth val="0"/>
        <c:axId val="1377586960"/>
        <c:axId val="1377589360"/>
      </c:lineChart>
      <c:dateAx>
        <c:axId val="1377586960"/>
        <c:scaling>
          <c:orientation val="minMax"/>
        </c:scaling>
        <c:delete val="0"/>
        <c:axPos val="b"/>
        <c:numFmt formatCode="m/d/yy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77589360"/>
        <c:crosses val="autoZero"/>
        <c:auto val="1"/>
        <c:lblOffset val="100"/>
        <c:baseTimeUnit val="days"/>
      </c:dateAx>
      <c:valAx>
        <c:axId val="13775893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775869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8</xdr:col>
      <xdr:colOff>1287780</xdr:colOff>
      <xdr:row>5</xdr:row>
      <xdr:rowOff>45720</xdr:rowOff>
    </xdr:from>
    <xdr:to>
      <xdr:col>12</xdr:col>
      <xdr:colOff>335280</xdr:colOff>
      <xdr:row>13</xdr:row>
      <xdr:rowOff>83820</xdr:rowOff>
    </xdr:to>
    <xdr:sp macro="" textlink="">
      <xdr:nvSpPr>
        <xdr:cNvPr id="2" name="TextBox 1">
          <a:extLst>
            <a:ext uri="{FF2B5EF4-FFF2-40B4-BE49-F238E27FC236}">
              <a16:creationId xmlns:a16="http://schemas.microsoft.com/office/drawing/2014/main" id="{02D422F8-C8AF-BF57-DC2D-DBF7348537BB}"/>
            </a:ext>
          </a:extLst>
        </xdr:cNvPr>
        <xdr:cNvSpPr txBox="1"/>
      </xdr:nvSpPr>
      <xdr:spPr>
        <a:xfrm>
          <a:off x="9639300" y="982980"/>
          <a:ext cx="4053840" cy="1501140"/>
        </a:xfrm>
        <a:prstGeom prst="wedgeRoundRectCallout">
          <a:avLst>
            <a:gd name="adj1" fmla="val -9179"/>
            <a:gd name="adj2" fmla="val -85426"/>
            <a:gd name="adj3" fmla="val 16667"/>
          </a:avLst>
        </a:prstGeom>
        <a:ln/>
      </xdr:spPr>
      <xdr:style>
        <a:lnRef idx="0">
          <a:schemeClr val="accent3"/>
        </a:lnRef>
        <a:fillRef idx="3">
          <a:schemeClr val="accent3"/>
        </a:fillRef>
        <a:effectRef idx="3">
          <a:schemeClr val="accent3"/>
        </a:effectRef>
        <a:fontRef idx="minor">
          <a:schemeClr val="lt1"/>
        </a:fontRef>
      </xdr:style>
      <xdr:txBody>
        <a:bodyPr vertOverflow="clip" horzOverflow="clip" wrap="square" rtlCol="0" anchor="ctr"/>
        <a:lstStyle/>
        <a:p>
          <a:pPr algn="l"/>
          <a:r>
            <a:rPr lang="en-IN" sz="1200">
              <a:solidFill>
                <a:schemeClr val="tx2"/>
              </a:solidFill>
              <a:latin typeface="Aptos Narrow" panose="020B0004020202020204" pitchFamily="34" charset="0"/>
            </a:rPr>
            <a:t>The Correlation Value</a:t>
          </a:r>
          <a:r>
            <a:rPr lang="en-IN" sz="1200" baseline="0">
              <a:solidFill>
                <a:schemeClr val="tx2"/>
              </a:solidFill>
              <a:latin typeface="Aptos Narrow" panose="020B0004020202020204" pitchFamily="34" charset="0"/>
            </a:rPr>
            <a:t> is </a:t>
          </a:r>
          <a:r>
            <a:rPr lang="en-IN" sz="1200" b="1" baseline="0">
              <a:solidFill>
                <a:schemeClr val="tx2"/>
              </a:solidFill>
              <a:latin typeface="Aptos Narrow" panose="020B0004020202020204" pitchFamily="34" charset="0"/>
            </a:rPr>
            <a:t>-0.0169 </a:t>
          </a:r>
          <a:r>
            <a:rPr lang="en-IN" sz="1200" baseline="0">
              <a:solidFill>
                <a:schemeClr val="tx2"/>
              </a:solidFill>
              <a:latin typeface="Aptos Narrow" panose="020B0004020202020204" pitchFamily="34" charset="0"/>
            </a:rPr>
            <a:t>which is very close to </a:t>
          </a:r>
          <a:r>
            <a:rPr lang="en-IN" sz="1200" b="1" baseline="0">
              <a:solidFill>
                <a:schemeClr val="tx2"/>
              </a:solidFill>
              <a:latin typeface="Aptos Narrow" panose="020B0004020202020204" pitchFamily="34" charset="0"/>
            </a:rPr>
            <a:t>0</a:t>
          </a:r>
          <a:r>
            <a:rPr lang="en-IN" sz="1200" baseline="0">
              <a:solidFill>
                <a:schemeClr val="tx2"/>
              </a:solidFill>
              <a:latin typeface="Aptos Narrow" panose="020B0004020202020204" pitchFamily="34" charset="0"/>
            </a:rPr>
            <a:t>.</a:t>
          </a:r>
        </a:p>
        <a:p>
          <a:pPr algn="l"/>
          <a:r>
            <a:rPr lang="en-IN" sz="1200" baseline="0">
              <a:solidFill>
                <a:schemeClr val="tx2"/>
              </a:solidFill>
              <a:latin typeface="Aptos Narrow" panose="020B0004020202020204" pitchFamily="34" charset="0"/>
            </a:rPr>
            <a:t>Thus this indicates that there's almost </a:t>
          </a:r>
          <a:r>
            <a:rPr lang="en-IN" sz="1200" b="1" baseline="0">
              <a:solidFill>
                <a:schemeClr val="tx2"/>
              </a:solidFill>
              <a:latin typeface="Aptos Narrow" panose="020B0004020202020204" pitchFamily="34" charset="0"/>
            </a:rPr>
            <a:t>no linear relationship </a:t>
          </a:r>
          <a:r>
            <a:rPr lang="en-IN" sz="1200" baseline="0">
              <a:solidFill>
                <a:schemeClr val="tx2"/>
              </a:solidFill>
              <a:latin typeface="Aptos Narrow" panose="020B0004020202020204" pitchFamily="34" charset="0"/>
            </a:rPr>
            <a:t>between the </a:t>
          </a:r>
          <a:r>
            <a:rPr lang="en-IN" sz="1200" b="1" baseline="0">
              <a:solidFill>
                <a:schemeClr val="tx2"/>
              </a:solidFill>
              <a:latin typeface="Aptos Narrow" panose="020B0004020202020204" pitchFamily="34" charset="0"/>
            </a:rPr>
            <a:t>Ad_Spend </a:t>
          </a:r>
          <a:r>
            <a:rPr lang="en-IN" sz="1200" baseline="0">
              <a:solidFill>
                <a:schemeClr val="tx2"/>
              </a:solidFill>
              <a:latin typeface="Aptos Narrow" panose="020B0004020202020204" pitchFamily="34" charset="0"/>
            </a:rPr>
            <a:t>Investment and </a:t>
          </a:r>
          <a:r>
            <a:rPr lang="en-IN" sz="1200" b="1" baseline="0">
              <a:solidFill>
                <a:schemeClr val="tx2"/>
              </a:solidFill>
              <a:latin typeface="Aptos Narrow" panose="020B0004020202020204" pitchFamily="34" charset="0"/>
            </a:rPr>
            <a:t>Weekly Follower Gain.</a:t>
          </a:r>
        </a:p>
        <a:p>
          <a:pPr algn="l"/>
          <a:r>
            <a:rPr lang="en-IN" sz="1200" baseline="0">
              <a:solidFill>
                <a:schemeClr val="tx2"/>
              </a:solidFill>
              <a:latin typeface="Aptos Narrow" panose="020B0004020202020204" pitchFamily="34" charset="0"/>
            </a:rPr>
            <a:t>Thus, It means </a:t>
          </a:r>
          <a:r>
            <a:rPr lang="en-IN" sz="1200" b="1" baseline="0">
              <a:solidFill>
                <a:schemeClr val="tx2"/>
              </a:solidFill>
              <a:latin typeface="Aptos Narrow" panose="020B0004020202020204" pitchFamily="34" charset="0"/>
            </a:rPr>
            <a:t>increasing the investment </a:t>
          </a:r>
          <a:r>
            <a:rPr lang="en-IN" sz="1200" baseline="0">
              <a:solidFill>
                <a:schemeClr val="tx2"/>
              </a:solidFill>
              <a:latin typeface="Aptos Narrow" panose="020B0004020202020204" pitchFamily="34" charset="0"/>
            </a:rPr>
            <a:t>won't lead automatically to </a:t>
          </a:r>
          <a:r>
            <a:rPr lang="en-IN" sz="1200" b="1" baseline="0">
              <a:solidFill>
                <a:schemeClr val="tx2"/>
              </a:solidFill>
              <a:latin typeface="Aptos Narrow" panose="020B0004020202020204" pitchFamily="34" charset="0"/>
            </a:rPr>
            <a:t>increase in follower gain</a:t>
          </a:r>
          <a:r>
            <a:rPr lang="en-IN" sz="1200" baseline="0">
              <a:solidFill>
                <a:schemeClr val="tx2"/>
              </a:solidFill>
              <a:latin typeface="Aptos Narrow" panose="020B0004020202020204" pitchFamily="34" charset="0"/>
            </a:rPr>
            <a:t>.</a:t>
          </a:r>
          <a:endParaRPr lang="en-IN" sz="1200">
            <a:solidFill>
              <a:schemeClr val="tx2"/>
            </a:solidFill>
            <a:latin typeface="Aptos Narrow" panose="020B00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xdr:colOff>
      <xdr:row>10</xdr:row>
      <xdr:rowOff>11430</xdr:rowOff>
    </xdr:from>
    <xdr:to>
      <xdr:col>10</xdr:col>
      <xdr:colOff>213360</xdr:colOff>
      <xdr:row>25</xdr:row>
      <xdr:rowOff>11430</xdr:rowOff>
    </xdr:to>
    <xdr:graphicFrame macro="">
      <xdr:nvGraphicFramePr>
        <xdr:cNvPr id="2" name="Chart 1">
          <a:extLst>
            <a:ext uri="{FF2B5EF4-FFF2-40B4-BE49-F238E27FC236}">
              <a16:creationId xmlns:a16="http://schemas.microsoft.com/office/drawing/2014/main" id="{4CE3AFDE-8486-18D5-1827-B3EF9E9F05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365760</xdr:colOff>
      <xdr:row>1</xdr:row>
      <xdr:rowOff>167640</xdr:rowOff>
    </xdr:from>
    <xdr:to>
      <xdr:col>16</xdr:col>
      <xdr:colOff>281940</xdr:colOff>
      <xdr:row>8</xdr:row>
      <xdr:rowOff>68580</xdr:rowOff>
    </xdr:to>
    <xdr:sp macro="" textlink="">
      <xdr:nvSpPr>
        <xdr:cNvPr id="3" name="TextBox 2">
          <a:extLst>
            <a:ext uri="{FF2B5EF4-FFF2-40B4-BE49-F238E27FC236}">
              <a16:creationId xmlns:a16="http://schemas.microsoft.com/office/drawing/2014/main" id="{16FE42BD-E83B-7A51-A608-6CED0A8687D2}"/>
            </a:ext>
          </a:extLst>
        </xdr:cNvPr>
        <xdr:cNvSpPr txBox="1"/>
      </xdr:nvSpPr>
      <xdr:spPr>
        <a:xfrm>
          <a:off x="9677400" y="350520"/>
          <a:ext cx="3573780" cy="1196340"/>
        </a:xfrm>
        <a:prstGeom prst="wedgeRoundRectCallout">
          <a:avLst>
            <a:gd name="adj1" fmla="val -56441"/>
            <a:gd name="adj2" fmla="val 92436"/>
            <a:gd name="adj3" fmla="val 16667"/>
          </a:avLst>
        </a:prstGeom>
        <a:ln/>
      </xdr:spPr>
      <xdr:style>
        <a:lnRef idx="0">
          <a:schemeClr val="accent3"/>
        </a:lnRef>
        <a:fillRef idx="3">
          <a:schemeClr val="accent3"/>
        </a:fillRef>
        <a:effectRef idx="3">
          <a:schemeClr val="accent3"/>
        </a:effectRef>
        <a:fontRef idx="minor">
          <a:schemeClr val="lt1"/>
        </a:fontRef>
      </xdr:style>
      <xdr:txBody>
        <a:bodyPr vertOverflow="clip" horzOverflow="clip" wrap="square" rtlCol="0" anchor="ctr"/>
        <a:lstStyle/>
        <a:p>
          <a:r>
            <a:rPr lang="en-IN" sz="1100">
              <a:solidFill>
                <a:schemeClr val="tx2"/>
              </a:solidFill>
              <a:latin typeface="Aptos Narrow" panose="020B0004020202020204" pitchFamily="34" charset="0"/>
            </a:rPr>
            <a:t>Using</a:t>
          </a:r>
          <a:r>
            <a:rPr lang="en-IN" sz="1100" baseline="0">
              <a:solidFill>
                <a:schemeClr val="tx2"/>
              </a:solidFill>
              <a:latin typeface="Aptos Narrow" panose="020B0004020202020204" pitchFamily="34" charset="0"/>
            </a:rPr>
            <a:t> the Max Function and the Line Chart we can determine that the week staring from </a:t>
          </a:r>
          <a:r>
            <a:rPr lang="en-IN" sz="1100" b="1" baseline="0">
              <a:solidFill>
                <a:schemeClr val="tx2"/>
              </a:solidFill>
              <a:latin typeface="Aptos Narrow" panose="020B0004020202020204" pitchFamily="34" charset="0"/>
            </a:rPr>
            <a:t>4th November 2024 </a:t>
          </a:r>
          <a:r>
            <a:rPr lang="en-IN" sz="1100" baseline="0">
              <a:solidFill>
                <a:schemeClr val="tx2"/>
              </a:solidFill>
              <a:latin typeface="Aptos Narrow" panose="020B0004020202020204" pitchFamily="34" charset="0"/>
            </a:rPr>
            <a:t>had the Maximum Follower Growth among all the weeks, we can also see that the week starting from </a:t>
          </a:r>
          <a:r>
            <a:rPr lang="en-IN" sz="1100" b="1" baseline="0">
              <a:solidFill>
                <a:schemeClr val="tx2"/>
              </a:solidFill>
              <a:latin typeface="Aptos Narrow" panose="020B0004020202020204" pitchFamily="34" charset="0"/>
            </a:rPr>
            <a:t>19th May 2025 </a:t>
          </a:r>
          <a:r>
            <a:rPr lang="en-IN" sz="1100" baseline="0">
              <a:solidFill>
                <a:schemeClr val="tx2"/>
              </a:solidFill>
              <a:latin typeface="Aptos Narrow" panose="020B0004020202020204" pitchFamily="34" charset="0"/>
            </a:rPr>
            <a:t>also had a comparable gain to 4th November 2024</a:t>
          </a:r>
          <a:endParaRPr lang="en-IN" sz="1100">
            <a:solidFill>
              <a:schemeClr val="tx2"/>
            </a:solidFill>
            <a:latin typeface="Aptos Narrow" panose="020B00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274320</xdr:colOff>
      <xdr:row>1</xdr:row>
      <xdr:rowOff>129540</xdr:rowOff>
    </xdr:from>
    <xdr:to>
      <xdr:col>14</xdr:col>
      <xdr:colOff>533400</xdr:colOff>
      <xdr:row>19</xdr:row>
      <xdr:rowOff>45720</xdr:rowOff>
    </xdr:to>
    <xdr:graphicFrame macro="">
      <xdr:nvGraphicFramePr>
        <xdr:cNvPr id="2" name="Chart 1">
          <a:extLst>
            <a:ext uri="{FF2B5EF4-FFF2-40B4-BE49-F238E27FC236}">
              <a16:creationId xmlns:a16="http://schemas.microsoft.com/office/drawing/2014/main" id="{B5888921-7A2D-27CF-9A11-8E2D23EBD6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137160</xdr:colOff>
      <xdr:row>2</xdr:row>
      <xdr:rowOff>60960</xdr:rowOff>
    </xdr:from>
    <xdr:to>
      <xdr:col>19</xdr:col>
      <xdr:colOff>281940</xdr:colOff>
      <xdr:row>26</xdr:row>
      <xdr:rowOff>175260</xdr:rowOff>
    </xdr:to>
    <xdr:sp macro="" textlink="">
      <xdr:nvSpPr>
        <xdr:cNvPr id="3" name="TextBox 2">
          <a:extLst>
            <a:ext uri="{FF2B5EF4-FFF2-40B4-BE49-F238E27FC236}">
              <a16:creationId xmlns:a16="http://schemas.microsoft.com/office/drawing/2014/main" id="{0D0BA79C-216D-C7A7-0D54-862FB762EF0F}"/>
            </a:ext>
          </a:extLst>
        </xdr:cNvPr>
        <xdr:cNvSpPr txBox="1"/>
      </xdr:nvSpPr>
      <xdr:spPr>
        <a:xfrm>
          <a:off x="11262360" y="441960"/>
          <a:ext cx="2583180" cy="4503420"/>
        </a:xfrm>
        <a:prstGeom prst="wedgeRoundRectCallout">
          <a:avLst>
            <a:gd name="adj1" fmla="val -59476"/>
            <a:gd name="adj2" fmla="val 7508"/>
            <a:gd name="adj3" fmla="val 16667"/>
          </a:avLst>
        </a:prstGeom>
        <a:ln/>
      </xdr:spPr>
      <xdr:style>
        <a:lnRef idx="0">
          <a:schemeClr val="accent3"/>
        </a:lnRef>
        <a:fillRef idx="3">
          <a:schemeClr val="accent3"/>
        </a:fillRef>
        <a:effectRef idx="3">
          <a:schemeClr val="accent3"/>
        </a:effectRef>
        <a:fontRef idx="minor">
          <a:schemeClr val="lt1"/>
        </a:fontRef>
      </xdr:style>
      <xdr:txBody>
        <a:bodyPr vertOverflow="clip" horzOverflow="clip" wrap="square" rtlCol="0" anchor="ctr"/>
        <a:lstStyle/>
        <a:p>
          <a:r>
            <a:rPr lang="en-IN" sz="1100">
              <a:solidFill>
                <a:schemeClr val="tx2"/>
              </a:solidFill>
              <a:latin typeface="Aptos Narrow" panose="020B0004020202020204" pitchFamily="34" charset="0"/>
            </a:rPr>
            <a:t>The chart shows that follower growth keeps going up and down over time. It is mostly between 2000 and 3000 followers per week, which means the account is growing steadily but not in a dramatic way.</a:t>
          </a:r>
        </a:p>
        <a:p>
          <a:r>
            <a:rPr lang="en-IN" sz="1100">
              <a:solidFill>
                <a:schemeClr val="tx2"/>
              </a:solidFill>
              <a:latin typeface="Aptos Narrow" panose="020B0004020202020204" pitchFamily="34" charset="0"/>
            </a:rPr>
            <a:t>There are a few big spikes, especially around </a:t>
          </a:r>
          <a:r>
            <a:rPr lang="en-IN" sz="1100" b="1">
              <a:solidFill>
                <a:schemeClr val="tx2"/>
              </a:solidFill>
              <a:latin typeface="Aptos Narrow" panose="020B0004020202020204" pitchFamily="34" charset="0"/>
            </a:rPr>
            <a:t>November 2024 </a:t>
          </a:r>
          <a:r>
            <a:rPr lang="en-IN" sz="1100">
              <a:solidFill>
                <a:schemeClr val="tx2"/>
              </a:solidFill>
              <a:latin typeface="Aptos Narrow" panose="020B0004020202020204" pitchFamily="34" charset="0"/>
            </a:rPr>
            <a:t>and again around </a:t>
          </a:r>
          <a:r>
            <a:rPr lang="en-IN" sz="1100" b="1">
              <a:solidFill>
                <a:schemeClr val="tx2"/>
              </a:solidFill>
              <a:latin typeface="Aptos Narrow" panose="020B0004020202020204" pitchFamily="34" charset="0"/>
            </a:rPr>
            <a:t>April–May 2025</a:t>
          </a:r>
          <a:r>
            <a:rPr lang="en-IN" sz="1100">
              <a:solidFill>
                <a:schemeClr val="tx2"/>
              </a:solidFill>
              <a:latin typeface="Aptos Narrow" panose="020B0004020202020204" pitchFamily="34" charset="0"/>
            </a:rPr>
            <a:t>. This probably happened because of strong campaigns </a:t>
          </a:r>
          <a:r>
            <a:rPr lang="en-IN" sz="1050">
              <a:solidFill>
                <a:schemeClr val="tx2"/>
              </a:solidFill>
              <a:latin typeface="Aptos Narrow" panose="020B0004020202020204" pitchFamily="34" charset="0"/>
            </a:rPr>
            <a:t>or</a:t>
          </a:r>
          <a:r>
            <a:rPr lang="en-IN" sz="1100">
              <a:solidFill>
                <a:schemeClr val="tx2"/>
              </a:solidFill>
              <a:latin typeface="Aptos Narrow" panose="020B0004020202020204" pitchFamily="34" charset="0"/>
            </a:rPr>
            <a:t> higher promotions during those periods.</a:t>
          </a:r>
        </a:p>
        <a:p>
          <a:r>
            <a:rPr lang="en-IN" sz="1100">
              <a:solidFill>
                <a:schemeClr val="tx2"/>
              </a:solidFill>
              <a:latin typeface="Aptos Narrow" panose="020B0004020202020204" pitchFamily="34" charset="0"/>
            </a:rPr>
            <a:t>There are also some dips, especially at the </a:t>
          </a:r>
          <a:r>
            <a:rPr lang="en-IN" sz="1100" b="1">
              <a:solidFill>
                <a:schemeClr val="tx2"/>
              </a:solidFill>
              <a:latin typeface="Aptos Narrow" panose="020B0004020202020204" pitchFamily="34" charset="0"/>
            </a:rPr>
            <a:t>beginning of 2025</a:t>
          </a:r>
          <a:r>
            <a:rPr lang="en-IN" sz="1100">
              <a:solidFill>
                <a:schemeClr val="tx2"/>
              </a:solidFill>
              <a:latin typeface="Aptos Narrow" panose="020B0004020202020204" pitchFamily="34" charset="0"/>
            </a:rPr>
            <a:t>, which may mean engagement was lower or there were fewer promotions at that time.</a:t>
          </a:r>
        </a:p>
        <a:p>
          <a:r>
            <a:rPr lang="en-IN" sz="1100">
              <a:solidFill>
                <a:schemeClr val="tx2"/>
              </a:solidFill>
              <a:latin typeface="Aptos Narrow" panose="020B0004020202020204" pitchFamily="34" charset="0"/>
            </a:rPr>
            <a:t>Overall, the moving average line shows that growth is </a:t>
          </a:r>
          <a:r>
            <a:rPr lang="en-IN" sz="1100" b="1">
              <a:solidFill>
                <a:schemeClr val="tx2"/>
              </a:solidFill>
              <a:latin typeface="Aptos Narrow" panose="020B0004020202020204" pitchFamily="34" charset="0"/>
            </a:rPr>
            <a:t>not completely stable</a:t>
          </a:r>
          <a:r>
            <a:rPr lang="en-IN" sz="1100">
              <a:solidFill>
                <a:schemeClr val="tx2"/>
              </a:solidFill>
              <a:latin typeface="Aptos Narrow" panose="020B0004020202020204" pitchFamily="34" charset="0"/>
            </a:rPr>
            <a:t>, but it does recover after slow periods. So, </a:t>
          </a:r>
          <a:r>
            <a:rPr lang="en-IN" sz="1100" b="1">
              <a:solidFill>
                <a:schemeClr val="tx2"/>
              </a:solidFill>
              <a:latin typeface="Aptos Narrow" panose="020B0004020202020204" pitchFamily="34" charset="0"/>
            </a:rPr>
            <a:t>follower growth seems to depend more on campaigns rather than consistent organic growth</a:t>
          </a:r>
          <a:r>
            <a:rPr lang="en-IN" sz="1100">
              <a:solidFill>
                <a:schemeClr val="tx2"/>
              </a:solidFill>
              <a:latin typeface="Aptos Narrow" panose="020B0004020202020204" pitchFamily="34" charset="0"/>
            </a:rPr>
            <a:t>.</a:t>
          </a:r>
        </a:p>
        <a:p>
          <a:endParaRPr lang="en-IN" sz="1050">
            <a:solidFill>
              <a:schemeClr val="tx2"/>
            </a:solidFill>
            <a:latin typeface="Aptos Narrow" panose="020B00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1981200</xdr:colOff>
      <xdr:row>0</xdr:row>
      <xdr:rowOff>83820</xdr:rowOff>
    </xdr:from>
    <xdr:to>
      <xdr:col>10</xdr:col>
      <xdr:colOff>3276600</xdr:colOff>
      <xdr:row>2</xdr:row>
      <xdr:rowOff>175260</xdr:rowOff>
    </xdr:to>
    <xdr:sp macro="" textlink="">
      <xdr:nvSpPr>
        <xdr:cNvPr id="2" name="TextBox 1">
          <a:extLst>
            <a:ext uri="{FF2B5EF4-FFF2-40B4-BE49-F238E27FC236}">
              <a16:creationId xmlns:a16="http://schemas.microsoft.com/office/drawing/2014/main" id="{6F7B0ACD-E75A-CE28-3376-8F6160A8F55B}"/>
            </a:ext>
          </a:extLst>
        </xdr:cNvPr>
        <xdr:cNvSpPr txBox="1"/>
      </xdr:nvSpPr>
      <xdr:spPr>
        <a:xfrm>
          <a:off x="3200400" y="83820"/>
          <a:ext cx="7993380" cy="457200"/>
        </a:xfrm>
        <a:prstGeom prst="rect">
          <a:avLst/>
        </a:prstGeom>
        <a:ln/>
      </xdr:spPr>
      <xdr:style>
        <a:lnRef idx="0">
          <a:schemeClr val="accent3"/>
        </a:lnRef>
        <a:fillRef idx="3">
          <a:schemeClr val="accent3"/>
        </a:fillRef>
        <a:effectRef idx="3">
          <a:schemeClr val="accent3"/>
        </a:effectRef>
        <a:fontRef idx="minor">
          <a:schemeClr val="lt1"/>
        </a:fontRef>
      </xdr:style>
      <xdr:txBody>
        <a:bodyPr vertOverflow="clip" horzOverflow="clip" wrap="square" rtlCol="0" anchor="ctr"/>
        <a:lstStyle/>
        <a:p>
          <a:pPr algn="ctr"/>
          <a:r>
            <a:rPr lang="en-IN" sz="1600" b="1" i="0" u="sng" strike="noStrike" baseline="0">
              <a:solidFill>
                <a:schemeClr val="tx2"/>
              </a:solidFill>
              <a:latin typeface="Aptos Display" panose="020B0004020202020204" pitchFamily="34" charset="0"/>
              <a:ea typeface="+mn-ea"/>
              <a:cs typeface="+mn-cs"/>
            </a:rPr>
            <a:t>Task 6: Follower Retention &amp; Loyalty </a:t>
          </a:r>
          <a:endParaRPr lang="en-IN" sz="1600" u="sng">
            <a:solidFill>
              <a:schemeClr val="tx2"/>
            </a:solidFill>
            <a:latin typeface="Aptos Display" panose="020B0004020202020204" pitchFamily="34" charset="0"/>
          </a:endParaRPr>
        </a:p>
      </xdr:txBody>
    </xdr:sp>
    <xdr:clientData/>
  </xdr:twoCellAnchor>
  <xdr:twoCellAnchor>
    <xdr:from>
      <xdr:col>4</xdr:col>
      <xdr:colOff>365760</xdr:colOff>
      <xdr:row>3</xdr:row>
      <xdr:rowOff>160020</xdr:rowOff>
    </xdr:from>
    <xdr:to>
      <xdr:col>10</xdr:col>
      <xdr:colOff>1790700</xdr:colOff>
      <xdr:row>9</xdr:row>
      <xdr:rowOff>68580</xdr:rowOff>
    </xdr:to>
    <xdr:sp macro="" textlink="">
      <xdr:nvSpPr>
        <xdr:cNvPr id="3" name="TextBox 2">
          <a:extLst>
            <a:ext uri="{FF2B5EF4-FFF2-40B4-BE49-F238E27FC236}">
              <a16:creationId xmlns:a16="http://schemas.microsoft.com/office/drawing/2014/main" id="{2F4885A5-5B28-7DD6-32CB-B18120161FC0}"/>
            </a:ext>
          </a:extLst>
        </xdr:cNvPr>
        <xdr:cNvSpPr txBox="1"/>
      </xdr:nvSpPr>
      <xdr:spPr>
        <a:xfrm>
          <a:off x="4625340" y="708660"/>
          <a:ext cx="5082540" cy="1005840"/>
        </a:xfrm>
        <a:prstGeom prst="roundRect">
          <a:avLst/>
        </a:prstGeom>
        <a:ln/>
      </xdr:spPr>
      <xdr:style>
        <a:lnRef idx="0">
          <a:schemeClr val="accent3"/>
        </a:lnRef>
        <a:fillRef idx="3">
          <a:schemeClr val="accent3"/>
        </a:fillRef>
        <a:effectRef idx="3">
          <a:schemeClr val="accent3"/>
        </a:effectRef>
        <a:fontRef idx="minor">
          <a:schemeClr val="lt1"/>
        </a:fontRef>
      </xdr:style>
      <xdr:txBody>
        <a:bodyPr vertOverflow="clip" horzOverflow="clip" wrap="square" rtlCol="0" anchor="ctr"/>
        <a:lstStyle/>
        <a:p>
          <a:pPr algn="l"/>
          <a:r>
            <a:rPr lang="en-IN" sz="1200" b="0" i="0" u="none" strike="noStrike" baseline="0">
              <a:solidFill>
                <a:schemeClr val="tx2"/>
              </a:solidFill>
              <a:latin typeface="Aptos Narrow" panose="020B0004020202020204" pitchFamily="34" charset="0"/>
              <a:ea typeface="+mn-ea"/>
              <a:cs typeface="+mn-cs"/>
            </a:rPr>
            <a:t>● Identify week with highest net follower gain </a:t>
          </a:r>
        </a:p>
        <a:p>
          <a:pPr algn="l"/>
          <a:r>
            <a:rPr lang="en-IN" sz="1200" b="0" i="0" u="none" strike="noStrike" baseline="0">
              <a:solidFill>
                <a:schemeClr val="tx2"/>
              </a:solidFill>
              <a:latin typeface="Aptos Narrow" panose="020B0004020202020204" pitchFamily="34" charset="0"/>
              <a:ea typeface="+mn-ea"/>
              <a:cs typeface="+mn-cs"/>
            </a:rPr>
            <a:t>● Moving average chart to analyze follower trends </a:t>
          </a:r>
        </a:p>
        <a:p>
          <a:pPr algn="l"/>
          <a:r>
            <a:rPr lang="en-IN" sz="1200" b="0" i="0" u="none" strike="noStrike" baseline="0">
              <a:solidFill>
                <a:schemeClr val="tx2"/>
              </a:solidFill>
              <a:latin typeface="Aptos Narrow" panose="020B0004020202020204" pitchFamily="34" charset="0"/>
              <a:ea typeface="+mn-ea"/>
              <a:cs typeface="+mn-cs"/>
            </a:rPr>
            <a:t>● Correlation between Ad Spend vs. Follower Growth/App Downloads </a:t>
          </a:r>
        </a:p>
      </xdr:txBody>
    </xdr:sp>
    <xdr:clientData/>
  </xdr:twoCellAnchor>
  <xdr:twoCellAnchor>
    <xdr:from>
      <xdr:col>0</xdr:col>
      <xdr:colOff>373380</xdr:colOff>
      <xdr:row>9</xdr:row>
      <xdr:rowOff>137160</xdr:rowOff>
    </xdr:from>
    <xdr:to>
      <xdr:col>7</xdr:col>
      <xdr:colOff>563880</xdr:colOff>
      <xdr:row>24</xdr:row>
      <xdr:rowOff>137160</xdr:rowOff>
    </xdr:to>
    <xdr:graphicFrame macro="">
      <xdr:nvGraphicFramePr>
        <xdr:cNvPr id="5" name="Chart 4">
          <a:extLst>
            <a:ext uri="{FF2B5EF4-FFF2-40B4-BE49-F238E27FC236}">
              <a16:creationId xmlns:a16="http://schemas.microsoft.com/office/drawing/2014/main" id="{187D7A53-97A3-4DA2-96B8-CBB2FC1689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312420</xdr:colOff>
      <xdr:row>14</xdr:row>
      <xdr:rowOff>0</xdr:rowOff>
    </xdr:from>
    <xdr:to>
      <xdr:col>14</xdr:col>
      <xdr:colOff>426720</xdr:colOff>
      <xdr:row>29</xdr:row>
      <xdr:rowOff>15240</xdr:rowOff>
    </xdr:to>
    <xdr:graphicFrame macro="">
      <xdr:nvGraphicFramePr>
        <xdr:cNvPr id="6" name="Chart 5">
          <a:extLst>
            <a:ext uri="{FF2B5EF4-FFF2-40B4-BE49-F238E27FC236}">
              <a16:creationId xmlns:a16="http://schemas.microsoft.com/office/drawing/2014/main" id="{E8BF15F5-7E1B-4ED8-97BF-6CD23DB6D1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ujal\OneDrive\Documents\Internshala\Excel\Excel%20Project\Task%205.xlsx" TargetMode="External"/><Relationship Id="rId1" Type="http://schemas.openxmlformats.org/officeDocument/2006/relationships/externalLinkPath" Target="Task%2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sts"/>
      <sheetName val="Engagement Summary"/>
      <sheetName val="Campaign Metadata"/>
      <sheetName val="Likes,Impressions,Click"/>
      <sheetName val="Engagement_Uplift"/>
      <sheetName val="ROI"/>
      <sheetName val="Task 5"/>
    </sheetNames>
    <sheetDataSet>
      <sheetData sheetId="0"/>
      <sheetData sheetId="1"/>
      <sheetData sheetId="2">
        <row r="1">
          <cell r="A1" t="str">
            <v>Campaign_Name</v>
          </cell>
          <cell r="B1" t="str">
            <v>Start_Date</v>
          </cell>
          <cell r="C1" t="str">
            <v>End_Date</v>
          </cell>
        </row>
        <row r="2">
          <cell r="A2" t="str">
            <v>SummerBeats</v>
          </cell>
          <cell r="B2">
            <v>45458</v>
          </cell>
          <cell r="C2">
            <v>45488</v>
          </cell>
        </row>
        <row r="3">
          <cell r="A3" t="str">
            <v>Wrapped2024</v>
          </cell>
          <cell r="B3">
            <v>45627</v>
          </cell>
          <cell r="C3">
            <v>45657</v>
          </cell>
        </row>
        <row r="4">
          <cell r="A4" t="str">
            <v>ChillVibes</v>
          </cell>
          <cell r="B4">
            <v>45667</v>
          </cell>
          <cell r="C4">
            <v>45698</v>
          </cell>
        </row>
        <row r="5">
          <cell r="A5" t="str">
            <v>IndieWave</v>
          </cell>
          <cell r="B5">
            <v>45717</v>
          </cell>
          <cell r="C5">
            <v>45747</v>
          </cell>
        </row>
      </sheetData>
      <sheetData sheetId="3"/>
      <sheetData sheetId="4"/>
      <sheetData sheetId="5"/>
      <sheetData sheetId="6"/>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jal Agrahari" refreshedDate="46075.143456944446" createdVersion="8" refreshedVersion="8" minRefreshableVersion="3" recordCount="200" xr:uid="{E75BE2F0-7B5D-4487-B1FB-32485675FC98}">
  <cacheSource type="worksheet">
    <worksheetSource ref="A1:H201" sheet="Engagement Summary"/>
  </cacheSource>
  <cacheFields count="11">
    <cacheField name="Week_Start_Date" numFmtId="14">
      <sharedItems containsSemiMixedTypes="0" containsNonDate="0" containsDate="1" containsString="0" minDate="2024-06-03T00:00:00" maxDate="2025-09-09T00:00:00" count="67">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d v="2025-05-19T00:00:00"/>
        <d v="2025-05-26T00:00:00"/>
        <d v="2025-06-02T00:00:00"/>
        <d v="2025-06-09T00:00:00"/>
        <d v="2025-06-16T00:00:00"/>
        <d v="2025-06-23T00:00:00"/>
        <d v="2025-06-30T00:00:00"/>
        <d v="2025-07-07T00:00:00"/>
        <d v="2025-07-14T00:00:00"/>
        <d v="2025-07-21T00:00:00"/>
        <d v="2025-07-28T00:00:00"/>
        <d v="2025-08-04T00:00:00"/>
        <d v="2025-08-11T00:00:00"/>
        <d v="2025-08-18T00:00:00"/>
        <d v="2025-08-25T00:00:00"/>
        <d v="2025-09-01T00:00:00"/>
        <d v="2025-09-08T00:00:00"/>
      </sharedItems>
      <fieldGroup par="10"/>
    </cacheField>
    <cacheField name="Platform" numFmtId="0">
      <sharedItems count="3">
        <s v="Instagram"/>
        <s v="Twitter"/>
        <s v="YouTube"/>
      </sharedItems>
    </cacheField>
    <cacheField name="New_Followers" numFmtId="1">
      <sharedItems containsSemiMixedTypes="0" containsString="0" containsNumber="1" containsInteger="1" minValue="503" maxValue="1490"/>
    </cacheField>
    <cacheField name="Unfollows" numFmtId="1">
      <sharedItems containsSemiMixedTypes="0" containsString="0" containsNumber="1" containsInteger="1" minValue="50" maxValue="296"/>
    </cacheField>
    <cacheField name="Total_Followers" numFmtId="1">
      <sharedItems containsSemiMixedTypes="0" containsString="0" containsNumber="1" containsInteger="1" minValue="61445" maxValue="397607"/>
    </cacheField>
    <cacheField name="Engagement_Rate" numFmtId="2">
      <sharedItems containsSemiMixedTypes="0" containsString="0" containsNumber="1" minValue="3.08" maxValue="9.99"/>
    </cacheField>
    <cacheField name="Ad_Spend" numFmtId="164">
      <sharedItems containsSemiMixedTypes="0" containsString="0" containsNumber="1" containsInteger="1" minValue="5281" maxValue="27829"/>
    </cacheField>
    <cacheField name="Weekly_Followers_Gain" numFmtId="1">
      <sharedItems containsSemiMixedTypes="0" containsString="0" containsNumber="1" containsInteger="1" minValue="250" maxValue="1397"/>
    </cacheField>
    <cacheField name="Months (Week_Start_Date)" numFmtId="0" databaseField="0">
      <fieldGroup base="0">
        <rangePr groupBy="months" startDate="2024-06-03T00:00:00" endDate="2025-09-09T00:00:00"/>
        <groupItems count="14">
          <s v="&lt;03-06-2024"/>
          <s v="Jan"/>
          <s v="Feb"/>
          <s v="Mar"/>
          <s v="Apr"/>
          <s v="May"/>
          <s v="Jun"/>
          <s v="Jul"/>
          <s v="Aug"/>
          <s v="Sep"/>
          <s v="Oct"/>
          <s v="Nov"/>
          <s v="Dec"/>
          <s v="&gt;09-09-2025"/>
        </groupItems>
      </fieldGroup>
    </cacheField>
    <cacheField name="Quarters (Week_Start_Date)" numFmtId="0" databaseField="0">
      <fieldGroup base="0">
        <rangePr groupBy="quarters" startDate="2024-06-03T00:00:00" endDate="2025-09-09T00:00:00"/>
        <groupItems count="6">
          <s v="&lt;03-06-2024"/>
          <s v="Qtr1"/>
          <s v="Qtr2"/>
          <s v="Qtr3"/>
          <s v="Qtr4"/>
          <s v="&gt;09-09-2025"/>
        </groupItems>
      </fieldGroup>
    </cacheField>
    <cacheField name="Years (Week_Start_Date)" numFmtId="0" databaseField="0">
      <fieldGroup base="0">
        <rangePr groupBy="years" startDate="2024-06-03T00:00:00" endDate="2025-09-09T00:00:00"/>
        <groupItems count="4">
          <s v="&lt;03-06-2024"/>
          <s v="2024"/>
          <s v="2025"/>
          <s v="&gt;09-09-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1402"/>
    <n v="68"/>
    <n v="124562"/>
    <n v="9.92"/>
    <n v="23125"/>
    <n v="1334"/>
  </r>
  <r>
    <x v="0"/>
    <x v="1"/>
    <n v="995"/>
    <n v="86"/>
    <n v="227958"/>
    <n v="8.0500000000000007"/>
    <n v="22788"/>
    <n v="909"/>
  </r>
  <r>
    <x v="0"/>
    <x v="2"/>
    <n v="1472"/>
    <n v="296"/>
    <n v="370242"/>
    <n v="7.72"/>
    <n v="7810"/>
    <n v="1176"/>
  </r>
  <r>
    <x v="1"/>
    <x v="0"/>
    <n v="1018"/>
    <n v="90"/>
    <n v="92474"/>
    <n v="9.4"/>
    <n v="11966"/>
    <n v="928"/>
  </r>
  <r>
    <x v="1"/>
    <x v="1"/>
    <n v="1461"/>
    <n v="64"/>
    <n v="328902"/>
    <n v="9.02"/>
    <n v="26298"/>
    <n v="1397"/>
  </r>
  <r>
    <x v="1"/>
    <x v="2"/>
    <n v="545"/>
    <n v="93"/>
    <n v="391621"/>
    <n v="9.9600000000000009"/>
    <n v="22029"/>
    <n v="452"/>
  </r>
  <r>
    <x v="2"/>
    <x v="0"/>
    <n v="881"/>
    <n v="291"/>
    <n v="95885"/>
    <n v="5.29"/>
    <n v="12391"/>
    <n v="590"/>
  </r>
  <r>
    <x v="2"/>
    <x v="1"/>
    <n v="1414"/>
    <n v="131"/>
    <n v="245947"/>
    <n v="8.3000000000000007"/>
    <n v="14477"/>
    <n v="1283"/>
  </r>
  <r>
    <x v="2"/>
    <x v="2"/>
    <n v="1472"/>
    <n v="170"/>
    <n v="250428"/>
    <n v="4.66"/>
    <n v="25040"/>
    <n v="1302"/>
  </r>
  <r>
    <x v="3"/>
    <x v="0"/>
    <n v="809"/>
    <n v="197"/>
    <n v="87186"/>
    <n v="9.48"/>
    <n v="22619"/>
    <n v="612"/>
  </r>
  <r>
    <x v="3"/>
    <x v="1"/>
    <n v="1371"/>
    <n v="250"/>
    <n v="128620"/>
    <n v="7.11"/>
    <n v="12399"/>
    <n v="1121"/>
  </r>
  <r>
    <x v="3"/>
    <x v="2"/>
    <n v="844"/>
    <n v="144"/>
    <n v="126015"/>
    <n v="9.65"/>
    <n v="22456"/>
    <n v="700"/>
  </r>
  <r>
    <x v="4"/>
    <x v="0"/>
    <n v="786"/>
    <n v="72"/>
    <n v="178615"/>
    <n v="5.43"/>
    <n v="19328"/>
    <n v="714"/>
  </r>
  <r>
    <x v="4"/>
    <x v="1"/>
    <n v="845"/>
    <n v="250"/>
    <n v="218228"/>
    <n v="4.5199999999999996"/>
    <n v="21107"/>
    <n v="595"/>
  </r>
  <r>
    <x v="4"/>
    <x v="2"/>
    <n v="1218"/>
    <n v="101"/>
    <n v="300397"/>
    <n v="4.33"/>
    <n v="12277"/>
    <n v="1117"/>
  </r>
  <r>
    <x v="5"/>
    <x v="0"/>
    <n v="797"/>
    <n v="130"/>
    <n v="340121"/>
    <n v="8.52"/>
    <n v="11684"/>
    <n v="667"/>
  </r>
  <r>
    <x v="5"/>
    <x v="1"/>
    <n v="1471"/>
    <n v="100"/>
    <n v="76866"/>
    <n v="8.5500000000000007"/>
    <n v="14412"/>
    <n v="1371"/>
  </r>
  <r>
    <x v="5"/>
    <x v="2"/>
    <n v="1253"/>
    <n v="136"/>
    <n v="193131"/>
    <n v="7.99"/>
    <n v="15924"/>
    <n v="1117"/>
  </r>
  <r>
    <x v="6"/>
    <x v="0"/>
    <n v="616"/>
    <n v="257"/>
    <n v="169665"/>
    <n v="6.31"/>
    <n v="12390"/>
    <n v="359"/>
  </r>
  <r>
    <x v="6"/>
    <x v="1"/>
    <n v="1308"/>
    <n v="210"/>
    <n v="263729"/>
    <n v="8.5299999999999994"/>
    <n v="25742"/>
    <n v="1098"/>
  </r>
  <r>
    <x v="6"/>
    <x v="2"/>
    <n v="981"/>
    <n v="69"/>
    <n v="206921"/>
    <n v="8.42"/>
    <n v="10495"/>
    <n v="912"/>
  </r>
  <r>
    <x v="7"/>
    <x v="0"/>
    <n v="866"/>
    <n v="74"/>
    <n v="204121"/>
    <n v="9.34"/>
    <n v="7797"/>
    <n v="792"/>
  </r>
  <r>
    <x v="7"/>
    <x v="1"/>
    <n v="547"/>
    <n v="183"/>
    <n v="266350"/>
    <n v="5.65"/>
    <n v="15595"/>
    <n v="364"/>
  </r>
  <r>
    <x v="7"/>
    <x v="2"/>
    <n v="1241"/>
    <n v="116"/>
    <n v="380606"/>
    <n v="4.2"/>
    <n v="24617"/>
    <n v="1125"/>
  </r>
  <r>
    <x v="8"/>
    <x v="0"/>
    <n v="973"/>
    <n v="104"/>
    <n v="376358"/>
    <n v="3.87"/>
    <n v="9847"/>
    <n v="869"/>
  </r>
  <r>
    <x v="8"/>
    <x v="1"/>
    <n v="611"/>
    <n v="197"/>
    <n v="79423"/>
    <n v="5.82"/>
    <n v="13644"/>
    <n v="414"/>
  </r>
  <r>
    <x v="8"/>
    <x v="2"/>
    <n v="983"/>
    <n v="134"/>
    <n v="352178"/>
    <n v="3.55"/>
    <n v="11421"/>
    <n v="849"/>
  </r>
  <r>
    <x v="9"/>
    <x v="0"/>
    <n v="1449"/>
    <n v="96"/>
    <n v="200636"/>
    <n v="9.92"/>
    <n v="15613"/>
    <n v="1353"/>
  </r>
  <r>
    <x v="9"/>
    <x v="1"/>
    <n v="752"/>
    <n v="170"/>
    <n v="132756"/>
    <n v="8.17"/>
    <n v="23900"/>
    <n v="582"/>
  </r>
  <r>
    <x v="9"/>
    <x v="2"/>
    <n v="937"/>
    <n v="179"/>
    <n v="318098"/>
    <n v="5.3"/>
    <n v="5836"/>
    <n v="758"/>
  </r>
  <r>
    <x v="10"/>
    <x v="0"/>
    <n v="1060"/>
    <n v="83"/>
    <n v="68724"/>
    <n v="5.98"/>
    <n v="5624"/>
    <n v="977"/>
  </r>
  <r>
    <x v="10"/>
    <x v="1"/>
    <n v="1456"/>
    <n v="265"/>
    <n v="115505"/>
    <n v="7.49"/>
    <n v="10311"/>
    <n v="1191"/>
  </r>
  <r>
    <x v="10"/>
    <x v="2"/>
    <n v="1109"/>
    <n v="205"/>
    <n v="276722"/>
    <n v="9.3800000000000008"/>
    <n v="8274"/>
    <n v="904"/>
  </r>
  <r>
    <x v="11"/>
    <x v="0"/>
    <n v="1002"/>
    <n v="93"/>
    <n v="353538"/>
    <n v="5.84"/>
    <n v="6031"/>
    <n v="909"/>
  </r>
  <r>
    <x v="11"/>
    <x v="1"/>
    <n v="571"/>
    <n v="189"/>
    <n v="61445"/>
    <n v="5.41"/>
    <n v="27829"/>
    <n v="382"/>
  </r>
  <r>
    <x v="11"/>
    <x v="2"/>
    <n v="1240"/>
    <n v="231"/>
    <n v="165035"/>
    <n v="6.05"/>
    <n v="18267"/>
    <n v="1009"/>
  </r>
  <r>
    <x v="12"/>
    <x v="0"/>
    <n v="1154"/>
    <n v="132"/>
    <n v="194595"/>
    <n v="7.54"/>
    <n v="26624"/>
    <n v="1022"/>
  </r>
  <r>
    <x v="12"/>
    <x v="1"/>
    <n v="537"/>
    <n v="275"/>
    <n v="236238"/>
    <n v="5.87"/>
    <n v="26644"/>
    <n v="262"/>
  </r>
  <r>
    <x v="12"/>
    <x v="2"/>
    <n v="1456"/>
    <n v="290"/>
    <n v="271044"/>
    <n v="7.17"/>
    <n v="13051"/>
    <n v="1166"/>
  </r>
  <r>
    <x v="13"/>
    <x v="0"/>
    <n v="721"/>
    <n v="206"/>
    <n v="334887"/>
    <n v="6.05"/>
    <n v="14217"/>
    <n v="515"/>
  </r>
  <r>
    <x v="13"/>
    <x v="1"/>
    <n v="1098"/>
    <n v="142"/>
    <n v="359150"/>
    <n v="7.51"/>
    <n v="16385"/>
    <n v="956"/>
  </r>
  <r>
    <x v="13"/>
    <x v="2"/>
    <n v="1096"/>
    <n v="65"/>
    <n v="358295"/>
    <n v="7.66"/>
    <n v="24548"/>
    <n v="1031"/>
  </r>
  <r>
    <x v="14"/>
    <x v="0"/>
    <n v="912"/>
    <n v="275"/>
    <n v="368454"/>
    <n v="6.03"/>
    <n v="9195"/>
    <n v="637"/>
  </r>
  <r>
    <x v="14"/>
    <x v="1"/>
    <n v="1430"/>
    <n v="162"/>
    <n v="269082"/>
    <n v="3.4"/>
    <n v="18071"/>
    <n v="1268"/>
  </r>
  <r>
    <x v="14"/>
    <x v="2"/>
    <n v="854"/>
    <n v="129"/>
    <n v="310903"/>
    <n v="7.83"/>
    <n v="16875"/>
    <n v="725"/>
  </r>
  <r>
    <x v="15"/>
    <x v="0"/>
    <n v="681"/>
    <n v="210"/>
    <n v="248581"/>
    <n v="8.76"/>
    <n v="9567"/>
    <n v="471"/>
  </r>
  <r>
    <x v="15"/>
    <x v="1"/>
    <n v="1373"/>
    <n v="82"/>
    <n v="371015"/>
    <n v="9.52"/>
    <n v="20306"/>
    <n v="1291"/>
  </r>
  <r>
    <x v="15"/>
    <x v="2"/>
    <n v="685"/>
    <n v="285"/>
    <n v="177452"/>
    <n v="3.36"/>
    <n v="21134"/>
    <n v="400"/>
  </r>
  <r>
    <x v="16"/>
    <x v="0"/>
    <n v="1290"/>
    <n v="177"/>
    <n v="80745"/>
    <n v="9.2200000000000006"/>
    <n v="26872"/>
    <n v="1113"/>
  </r>
  <r>
    <x v="16"/>
    <x v="1"/>
    <n v="1437"/>
    <n v="239"/>
    <n v="362441"/>
    <n v="5.57"/>
    <n v="10253"/>
    <n v="1198"/>
  </r>
  <r>
    <x v="16"/>
    <x v="2"/>
    <n v="769"/>
    <n v="295"/>
    <n v="344771"/>
    <n v="8.06"/>
    <n v="23963"/>
    <n v="474"/>
  </r>
  <r>
    <x v="17"/>
    <x v="0"/>
    <n v="1416"/>
    <n v="284"/>
    <n v="374952"/>
    <n v="3.45"/>
    <n v="11335"/>
    <n v="1132"/>
  </r>
  <r>
    <x v="17"/>
    <x v="1"/>
    <n v="998"/>
    <n v="154"/>
    <n v="179781"/>
    <n v="9.58"/>
    <n v="12115"/>
    <n v="844"/>
  </r>
  <r>
    <x v="17"/>
    <x v="2"/>
    <n v="1421"/>
    <n v="246"/>
    <n v="358581"/>
    <n v="8.8800000000000008"/>
    <n v="24358"/>
    <n v="1175"/>
  </r>
  <r>
    <x v="18"/>
    <x v="0"/>
    <n v="764"/>
    <n v="205"/>
    <n v="319294"/>
    <n v="6.23"/>
    <n v="12181"/>
    <n v="559"/>
  </r>
  <r>
    <x v="18"/>
    <x v="1"/>
    <n v="678"/>
    <n v="124"/>
    <n v="192022"/>
    <n v="8.4499999999999993"/>
    <n v="17729"/>
    <n v="554"/>
  </r>
  <r>
    <x v="18"/>
    <x v="2"/>
    <n v="1328"/>
    <n v="103"/>
    <n v="151462"/>
    <n v="8.4"/>
    <n v="10881"/>
    <n v="1225"/>
  </r>
  <r>
    <x v="19"/>
    <x v="0"/>
    <n v="1161"/>
    <n v="269"/>
    <n v="188193"/>
    <n v="7.34"/>
    <n v="18576"/>
    <n v="892"/>
  </r>
  <r>
    <x v="19"/>
    <x v="1"/>
    <n v="588"/>
    <n v="52"/>
    <n v="292040"/>
    <n v="8.14"/>
    <n v="9383"/>
    <n v="536"/>
  </r>
  <r>
    <x v="19"/>
    <x v="2"/>
    <n v="1457"/>
    <n v="215"/>
    <n v="325325"/>
    <n v="9.58"/>
    <n v="14178"/>
    <n v="1242"/>
  </r>
  <r>
    <x v="20"/>
    <x v="0"/>
    <n v="1190"/>
    <n v="242"/>
    <n v="86849"/>
    <n v="8.06"/>
    <n v="21254"/>
    <n v="948"/>
  </r>
  <r>
    <x v="20"/>
    <x v="1"/>
    <n v="886"/>
    <n v="124"/>
    <n v="141161"/>
    <n v="8.19"/>
    <n v="14215"/>
    <n v="762"/>
  </r>
  <r>
    <x v="20"/>
    <x v="2"/>
    <n v="1237"/>
    <n v="155"/>
    <n v="149916"/>
    <n v="4.4800000000000004"/>
    <n v="16921"/>
    <n v="1082"/>
  </r>
  <r>
    <x v="21"/>
    <x v="0"/>
    <n v="1435"/>
    <n v="261"/>
    <n v="308533"/>
    <n v="4.5199999999999996"/>
    <n v="25130"/>
    <n v="1174"/>
  </r>
  <r>
    <x v="21"/>
    <x v="1"/>
    <n v="746"/>
    <n v="282"/>
    <n v="293894"/>
    <n v="5.42"/>
    <n v="25537"/>
    <n v="464"/>
  </r>
  <r>
    <x v="21"/>
    <x v="2"/>
    <n v="759"/>
    <n v="216"/>
    <n v="147656"/>
    <n v="4.08"/>
    <n v="24943"/>
    <n v="543"/>
  </r>
  <r>
    <x v="22"/>
    <x v="0"/>
    <n v="1437"/>
    <n v="235"/>
    <n v="326791"/>
    <n v="4.0599999999999996"/>
    <n v="14563"/>
    <n v="1202"/>
  </r>
  <r>
    <x v="22"/>
    <x v="1"/>
    <n v="1463"/>
    <n v="73"/>
    <n v="348877"/>
    <n v="9.91"/>
    <n v="26273"/>
    <n v="1390"/>
  </r>
  <r>
    <x v="22"/>
    <x v="2"/>
    <n v="1208"/>
    <n v="224"/>
    <n v="122730"/>
    <n v="8.7200000000000006"/>
    <n v="10858"/>
    <n v="984"/>
  </r>
  <r>
    <x v="23"/>
    <x v="0"/>
    <n v="1391"/>
    <n v="187"/>
    <n v="306508"/>
    <n v="8.3800000000000008"/>
    <n v="25038"/>
    <n v="1204"/>
  </r>
  <r>
    <x v="23"/>
    <x v="1"/>
    <n v="655"/>
    <n v="123"/>
    <n v="202472"/>
    <n v="7.56"/>
    <n v="9092"/>
    <n v="532"/>
  </r>
  <r>
    <x v="23"/>
    <x v="2"/>
    <n v="1148"/>
    <n v="90"/>
    <n v="227249"/>
    <n v="7.24"/>
    <n v="17662"/>
    <n v="1058"/>
  </r>
  <r>
    <x v="24"/>
    <x v="0"/>
    <n v="946"/>
    <n v="270"/>
    <n v="246567"/>
    <n v="4.53"/>
    <n v="5924"/>
    <n v="676"/>
  </r>
  <r>
    <x v="24"/>
    <x v="1"/>
    <n v="791"/>
    <n v="214"/>
    <n v="114738"/>
    <n v="6.62"/>
    <n v="25347"/>
    <n v="577"/>
  </r>
  <r>
    <x v="24"/>
    <x v="2"/>
    <n v="793"/>
    <n v="111"/>
    <n v="333500"/>
    <n v="6.36"/>
    <n v="8910"/>
    <n v="682"/>
  </r>
  <r>
    <x v="25"/>
    <x v="0"/>
    <n v="663"/>
    <n v="213"/>
    <n v="352677"/>
    <n v="9"/>
    <n v="20438"/>
    <n v="450"/>
  </r>
  <r>
    <x v="25"/>
    <x v="1"/>
    <n v="954"/>
    <n v="271"/>
    <n v="160936"/>
    <n v="8.83"/>
    <n v="8760"/>
    <n v="683"/>
  </r>
  <r>
    <x v="25"/>
    <x v="2"/>
    <n v="1313"/>
    <n v="159"/>
    <n v="197183"/>
    <n v="9.7100000000000009"/>
    <n v="6625"/>
    <n v="1154"/>
  </r>
  <r>
    <x v="26"/>
    <x v="0"/>
    <n v="895"/>
    <n v="87"/>
    <n v="171271"/>
    <n v="6.68"/>
    <n v="23329"/>
    <n v="808"/>
  </r>
  <r>
    <x v="26"/>
    <x v="1"/>
    <n v="1027"/>
    <n v="156"/>
    <n v="111293"/>
    <n v="5.51"/>
    <n v="7299"/>
    <n v="871"/>
  </r>
  <r>
    <x v="26"/>
    <x v="2"/>
    <n v="990"/>
    <n v="286"/>
    <n v="351493"/>
    <n v="7.97"/>
    <n v="14496"/>
    <n v="704"/>
  </r>
  <r>
    <x v="27"/>
    <x v="0"/>
    <n v="875"/>
    <n v="264"/>
    <n v="345631"/>
    <n v="9.18"/>
    <n v="25703"/>
    <n v="611"/>
  </r>
  <r>
    <x v="27"/>
    <x v="1"/>
    <n v="599"/>
    <n v="194"/>
    <n v="105622"/>
    <n v="6.44"/>
    <n v="15108"/>
    <n v="405"/>
  </r>
  <r>
    <x v="27"/>
    <x v="2"/>
    <n v="630"/>
    <n v="248"/>
    <n v="119054"/>
    <n v="5.0199999999999996"/>
    <n v="18867"/>
    <n v="382"/>
  </r>
  <r>
    <x v="28"/>
    <x v="0"/>
    <n v="1350"/>
    <n v="233"/>
    <n v="171670"/>
    <n v="4.53"/>
    <n v="17574"/>
    <n v="1117"/>
  </r>
  <r>
    <x v="28"/>
    <x v="1"/>
    <n v="632"/>
    <n v="155"/>
    <n v="170432"/>
    <n v="9.17"/>
    <n v="12840"/>
    <n v="477"/>
  </r>
  <r>
    <x v="28"/>
    <x v="2"/>
    <n v="1182"/>
    <n v="83"/>
    <n v="140300"/>
    <n v="3.27"/>
    <n v="21079"/>
    <n v="1099"/>
  </r>
  <r>
    <x v="29"/>
    <x v="0"/>
    <n v="661"/>
    <n v="94"/>
    <n v="116538"/>
    <n v="5.31"/>
    <n v="23486"/>
    <n v="567"/>
  </r>
  <r>
    <x v="29"/>
    <x v="1"/>
    <n v="1360"/>
    <n v="227"/>
    <n v="176902"/>
    <n v="6.03"/>
    <n v="5960"/>
    <n v="1133"/>
  </r>
  <r>
    <x v="29"/>
    <x v="2"/>
    <n v="935"/>
    <n v="85"/>
    <n v="326821"/>
    <n v="8.89"/>
    <n v="13301"/>
    <n v="850"/>
  </r>
  <r>
    <x v="30"/>
    <x v="0"/>
    <n v="664"/>
    <n v="251"/>
    <n v="240598"/>
    <n v="4.79"/>
    <n v="10563"/>
    <n v="413"/>
  </r>
  <r>
    <x v="30"/>
    <x v="1"/>
    <n v="1490"/>
    <n v="103"/>
    <n v="373274"/>
    <n v="4.8"/>
    <n v="19949"/>
    <n v="1387"/>
  </r>
  <r>
    <x v="30"/>
    <x v="2"/>
    <n v="601"/>
    <n v="64"/>
    <n v="123272"/>
    <n v="4.07"/>
    <n v="14273"/>
    <n v="537"/>
  </r>
  <r>
    <x v="31"/>
    <x v="0"/>
    <n v="613"/>
    <n v="170"/>
    <n v="139266"/>
    <n v="6.06"/>
    <n v="9247"/>
    <n v="443"/>
  </r>
  <r>
    <x v="31"/>
    <x v="1"/>
    <n v="1340"/>
    <n v="57"/>
    <n v="155927"/>
    <n v="7.79"/>
    <n v="11972"/>
    <n v="1283"/>
  </r>
  <r>
    <x v="31"/>
    <x v="2"/>
    <n v="953"/>
    <n v="228"/>
    <n v="258398"/>
    <n v="9.0500000000000007"/>
    <n v="13314"/>
    <n v="725"/>
  </r>
  <r>
    <x v="32"/>
    <x v="0"/>
    <n v="532"/>
    <n v="65"/>
    <n v="338561"/>
    <n v="3.5"/>
    <n v="14749"/>
    <n v="467"/>
  </r>
  <r>
    <x v="32"/>
    <x v="1"/>
    <n v="1414"/>
    <n v="60"/>
    <n v="341856"/>
    <n v="8.76"/>
    <n v="6868"/>
    <n v="1354"/>
  </r>
  <r>
    <x v="32"/>
    <x v="2"/>
    <n v="685"/>
    <n v="165"/>
    <n v="175860"/>
    <n v="6.26"/>
    <n v="6027"/>
    <n v="520"/>
  </r>
  <r>
    <x v="33"/>
    <x v="0"/>
    <n v="601"/>
    <n v="159"/>
    <n v="327722"/>
    <n v="3.33"/>
    <n v="25267"/>
    <n v="442"/>
  </r>
  <r>
    <x v="33"/>
    <x v="1"/>
    <n v="841"/>
    <n v="295"/>
    <n v="271638"/>
    <n v="9.15"/>
    <n v="5900"/>
    <n v="546"/>
  </r>
  <r>
    <x v="33"/>
    <x v="2"/>
    <n v="1105"/>
    <n v="261"/>
    <n v="333851"/>
    <n v="6.03"/>
    <n v="11181"/>
    <n v="844"/>
  </r>
  <r>
    <x v="34"/>
    <x v="0"/>
    <n v="566"/>
    <n v="225"/>
    <n v="368984"/>
    <n v="9.82"/>
    <n v="9592"/>
    <n v="341"/>
  </r>
  <r>
    <x v="34"/>
    <x v="1"/>
    <n v="1149"/>
    <n v="280"/>
    <n v="167310"/>
    <n v="3.7"/>
    <n v="5291"/>
    <n v="869"/>
  </r>
  <r>
    <x v="34"/>
    <x v="2"/>
    <n v="819"/>
    <n v="101"/>
    <n v="194811"/>
    <n v="3.35"/>
    <n v="22244"/>
    <n v="718"/>
  </r>
  <r>
    <x v="35"/>
    <x v="0"/>
    <n v="795"/>
    <n v="60"/>
    <n v="314982"/>
    <n v="7.31"/>
    <n v="6824"/>
    <n v="735"/>
  </r>
  <r>
    <x v="35"/>
    <x v="1"/>
    <n v="681"/>
    <n v="158"/>
    <n v="75960"/>
    <n v="3.13"/>
    <n v="24112"/>
    <n v="523"/>
  </r>
  <r>
    <x v="35"/>
    <x v="2"/>
    <n v="534"/>
    <n v="112"/>
    <n v="360759"/>
    <n v="4.8899999999999997"/>
    <n v="25478"/>
    <n v="422"/>
  </r>
  <r>
    <x v="36"/>
    <x v="0"/>
    <n v="1066"/>
    <n v="151"/>
    <n v="297090"/>
    <n v="8.6300000000000008"/>
    <n v="11235"/>
    <n v="915"/>
  </r>
  <r>
    <x v="36"/>
    <x v="1"/>
    <n v="1270"/>
    <n v="162"/>
    <n v="92040"/>
    <n v="8.0299999999999994"/>
    <n v="6120"/>
    <n v="1108"/>
  </r>
  <r>
    <x v="36"/>
    <x v="2"/>
    <n v="536"/>
    <n v="198"/>
    <n v="174610"/>
    <n v="7.85"/>
    <n v="20572"/>
    <n v="338"/>
  </r>
  <r>
    <x v="37"/>
    <x v="0"/>
    <n v="819"/>
    <n v="95"/>
    <n v="177376"/>
    <n v="6.12"/>
    <n v="14975"/>
    <n v="724"/>
  </r>
  <r>
    <x v="37"/>
    <x v="1"/>
    <n v="681"/>
    <n v="218"/>
    <n v="198882"/>
    <n v="7.16"/>
    <n v="22234"/>
    <n v="463"/>
  </r>
  <r>
    <x v="37"/>
    <x v="2"/>
    <n v="646"/>
    <n v="290"/>
    <n v="336383"/>
    <n v="7.04"/>
    <n v="6532"/>
    <n v="356"/>
  </r>
  <r>
    <x v="38"/>
    <x v="0"/>
    <n v="645"/>
    <n v="267"/>
    <n v="346890"/>
    <n v="3.71"/>
    <n v="24858"/>
    <n v="378"/>
  </r>
  <r>
    <x v="38"/>
    <x v="1"/>
    <n v="886"/>
    <n v="250"/>
    <n v="168170"/>
    <n v="4.12"/>
    <n v="13883"/>
    <n v="636"/>
  </r>
  <r>
    <x v="38"/>
    <x v="2"/>
    <n v="978"/>
    <n v="279"/>
    <n v="368872"/>
    <n v="6.82"/>
    <n v="18654"/>
    <n v="699"/>
  </r>
  <r>
    <x v="39"/>
    <x v="0"/>
    <n v="1444"/>
    <n v="165"/>
    <n v="116436"/>
    <n v="8.2200000000000006"/>
    <n v="25234"/>
    <n v="1279"/>
  </r>
  <r>
    <x v="39"/>
    <x v="1"/>
    <n v="1234"/>
    <n v="228"/>
    <n v="127502"/>
    <n v="7.71"/>
    <n v="6772"/>
    <n v="1006"/>
  </r>
  <r>
    <x v="39"/>
    <x v="2"/>
    <n v="665"/>
    <n v="187"/>
    <n v="274567"/>
    <n v="7.39"/>
    <n v="22428"/>
    <n v="478"/>
  </r>
  <r>
    <x v="40"/>
    <x v="0"/>
    <n v="631"/>
    <n v="86"/>
    <n v="295090"/>
    <n v="7.89"/>
    <n v="11911"/>
    <n v="545"/>
  </r>
  <r>
    <x v="40"/>
    <x v="1"/>
    <n v="1159"/>
    <n v="154"/>
    <n v="194994"/>
    <n v="6.39"/>
    <n v="21900"/>
    <n v="1005"/>
  </r>
  <r>
    <x v="40"/>
    <x v="2"/>
    <n v="950"/>
    <n v="185"/>
    <n v="340750"/>
    <n v="6.77"/>
    <n v="25542"/>
    <n v="765"/>
  </r>
  <r>
    <x v="41"/>
    <x v="0"/>
    <n v="693"/>
    <n v="129"/>
    <n v="296031"/>
    <n v="3.41"/>
    <n v="7140"/>
    <n v="564"/>
  </r>
  <r>
    <x v="41"/>
    <x v="1"/>
    <n v="576"/>
    <n v="80"/>
    <n v="345688"/>
    <n v="4.1100000000000003"/>
    <n v="20474"/>
    <n v="496"/>
  </r>
  <r>
    <x v="41"/>
    <x v="2"/>
    <n v="1274"/>
    <n v="146"/>
    <n v="263488"/>
    <n v="9.58"/>
    <n v="8698"/>
    <n v="1128"/>
  </r>
  <r>
    <x v="42"/>
    <x v="0"/>
    <n v="818"/>
    <n v="253"/>
    <n v="184911"/>
    <n v="3.39"/>
    <n v="10402"/>
    <n v="565"/>
  </r>
  <r>
    <x v="42"/>
    <x v="1"/>
    <n v="975"/>
    <n v="162"/>
    <n v="124497"/>
    <n v="9.58"/>
    <n v="26618"/>
    <n v="813"/>
  </r>
  <r>
    <x v="42"/>
    <x v="2"/>
    <n v="1398"/>
    <n v="97"/>
    <n v="397607"/>
    <n v="5.09"/>
    <n v="7975"/>
    <n v="1301"/>
  </r>
  <r>
    <x v="43"/>
    <x v="0"/>
    <n v="591"/>
    <n v="155"/>
    <n v="138521"/>
    <n v="7.85"/>
    <n v="19054"/>
    <n v="436"/>
  </r>
  <r>
    <x v="43"/>
    <x v="1"/>
    <n v="1232"/>
    <n v="254"/>
    <n v="107718"/>
    <n v="9.7100000000000009"/>
    <n v="13740"/>
    <n v="978"/>
  </r>
  <r>
    <x v="43"/>
    <x v="2"/>
    <n v="1425"/>
    <n v="58"/>
    <n v="202234"/>
    <n v="6.67"/>
    <n v="18442"/>
    <n v="1367"/>
  </r>
  <r>
    <x v="44"/>
    <x v="0"/>
    <n v="1417"/>
    <n v="80"/>
    <n v="340987"/>
    <n v="6.13"/>
    <n v="10104"/>
    <n v="1337"/>
  </r>
  <r>
    <x v="44"/>
    <x v="1"/>
    <n v="1222"/>
    <n v="208"/>
    <n v="340098"/>
    <n v="7.34"/>
    <n v="21771"/>
    <n v="1014"/>
  </r>
  <r>
    <x v="44"/>
    <x v="2"/>
    <n v="1071"/>
    <n v="131"/>
    <n v="254727"/>
    <n v="6.87"/>
    <n v="22191"/>
    <n v="940"/>
  </r>
  <r>
    <x v="45"/>
    <x v="0"/>
    <n v="772"/>
    <n v="82"/>
    <n v="345659"/>
    <n v="3.52"/>
    <n v="27753"/>
    <n v="690"/>
  </r>
  <r>
    <x v="45"/>
    <x v="1"/>
    <n v="1472"/>
    <n v="137"/>
    <n v="213950"/>
    <n v="6.96"/>
    <n v="23736"/>
    <n v="1335"/>
  </r>
  <r>
    <x v="45"/>
    <x v="2"/>
    <n v="1472"/>
    <n v="281"/>
    <n v="258115"/>
    <n v="7.23"/>
    <n v="27393"/>
    <n v="1191"/>
  </r>
  <r>
    <x v="46"/>
    <x v="0"/>
    <n v="585"/>
    <n v="232"/>
    <n v="321258"/>
    <n v="7.42"/>
    <n v="10343"/>
    <n v="353"/>
  </r>
  <r>
    <x v="46"/>
    <x v="1"/>
    <n v="747"/>
    <n v="261"/>
    <n v="338650"/>
    <n v="7.73"/>
    <n v="25259"/>
    <n v="486"/>
  </r>
  <r>
    <x v="46"/>
    <x v="2"/>
    <n v="1113"/>
    <n v="224"/>
    <n v="272989"/>
    <n v="5.13"/>
    <n v="24827"/>
    <n v="889"/>
  </r>
  <r>
    <x v="47"/>
    <x v="0"/>
    <n v="1100"/>
    <n v="117"/>
    <n v="260204"/>
    <n v="4.4000000000000004"/>
    <n v="11908"/>
    <n v="983"/>
  </r>
  <r>
    <x v="47"/>
    <x v="1"/>
    <n v="751"/>
    <n v="170"/>
    <n v="283278"/>
    <n v="3.49"/>
    <n v="11005"/>
    <n v="581"/>
  </r>
  <r>
    <x v="47"/>
    <x v="2"/>
    <n v="864"/>
    <n v="50"/>
    <n v="277445"/>
    <n v="3.57"/>
    <n v="26333"/>
    <n v="814"/>
  </r>
  <r>
    <x v="48"/>
    <x v="0"/>
    <n v="1146"/>
    <n v="227"/>
    <n v="353781"/>
    <n v="6.41"/>
    <n v="5495"/>
    <n v="919"/>
  </r>
  <r>
    <x v="48"/>
    <x v="1"/>
    <n v="883"/>
    <n v="207"/>
    <n v="265019"/>
    <n v="6.04"/>
    <n v="15655"/>
    <n v="676"/>
  </r>
  <r>
    <x v="48"/>
    <x v="2"/>
    <n v="622"/>
    <n v="163"/>
    <n v="231925"/>
    <n v="9.18"/>
    <n v="13763"/>
    <n v="459"/>
  </r>
  <r>
    <x v="49"/>
    <x v="0"/>
    <n v="837"/>
    <n v="261"/>
    <n v="366149"/>
    <n v="6.54"/>
    <n v="26073"/>
    <n v="576"/>
  </r>
  <r>
    <x v="49"/>
    <x v="1"/>
    <n v="544"/>
    <n v="97"/>
    <n v="168375"/>
    <n v="8.66"/>
    <n v="12774"/>
    <n v="447"/>
  </r>
  <r>
    <x v="49"/>
    <x v="2"/>
    <n v="624"/>
    <n v="247"/>
    <n v="252763"/>
    <n v="3.89"/>
    <n v="19000"/>
    <n v="377"/>
  </r>
  <r>
    <x v="50"/>
    <x v="0"/>
    <n v="1073"/>
    <n v="141"/>
    <n v="118393"/>
    <n v="7.95"/>
    <n v="14051"/>
    <n v="932"/>
  </r>
  <r>
    <x v="50"/>
    <x v="1"/>
    <n v="1430"/>
    <n v="74"/>
    <n v="327012"/>
    <n v="6.66"/>
    <n v="27782"/>
    <n v="1356"/>
  </r>
  <r>
    <x v="50"/>
    <x v="2"/>
    <n v="1358"/>
    <n v="77"/>
    <n v="169688"/>
    <n v="5.25"/>
    <n v="7859"/>
    <n v="1281"/>
  </r>
  <r>
    <x v="51"/>
    <x v="0"/>
    <n v="1242"/>
    <n v="201"/>
    <n v="271935"/>
    <n v="5.07"/>
    <n v="15773"/>
    <n v="1041"/>
  </r>
  <r>
    <x v="51"/>
    <x v="1"/>
    <n v="1389"/>
    <n v="205"/>
    <n v="315981"/>
    <n v="7.62"/>
    <n v="20595"/>
    <n v="1184"/>
  </r>
  <r>
    <x v="51"/>
    <x v="2"/>
    <n v="826"/>
    <n v="142"/>
    <n v="341016"/>
    <n v="7.44"/>
    <n v="12031"/>
    <n v="684"/>
  </r>
  <r>
    <x v="52"/>
    <x v="0"/>
    <n v="618"/>
    <n v="264"/>
    <n v="285164"/>
    <n v="4.8600000000000003"/>
    <n v="15128"/>
    <n v="354"/>
  </r>
  <r>
    <x v="52"/>
    <x v="1"/>
    <n v="1419"/>
    <n v="293"/>
    <n v="116632"/>
    <n v="6.93"/>
    <n v="11826"/>
    <n v="1126"/>
  </r>
  <r>
    <x v="52"/>
    <x v="2"/>
    <n v="637"/>
    <n v="68"/>
    <n v="115694"/>
    <n v="9.99"/>
    <n v="12562"/>
    <n v="569"/>
  </r>
  <r>
    <x v="53"/>
    <x v="0"/>
    <n v="917"/>
    <n v="187"/>
    <n v="64444"/>
    <n v="5.22"/>
    <n v="13013"/>
    <n v="730"/>
  </r>
  <r>
    <x v="53"/>
    <x v="1"/>
    <n v="810"/>
    <n v="232"/>
    <n v="362559"/>
    <n v="5.17"/>
    <n v="12937"/>
    <n v="578"/>
  </r>
  <r>
    <x v="53"/>
    <x v="2"/>
    <n v="1183"/>
    <n v="248"/>
    <n v="226881"/>
    <n v="5.17"/>
    <n v="14534"/>
    <n v="935"/>
  </r>
  <r>
    <x v="54"/>
    <x v="0"/>
    <n v="765"/>
    <n v="67"/>
    <n v="283537"/>
    <n v="6.18"/>
    <n v="8182"/>
    <n v="698"/>
  </r>
  <r>
    <x v="54"/>
    <x v="1"/>
    <n v="540"/>
    <n v="215"/>
    <n v="62837"/>
    <n v="5.3"/>
    <n v="10615"/>
    <n v="325"/>
  </r>
  <r>
    <x v="54"/>
    <x v="2"/>
    <n v="1145"/>
    <n v="151"/>
    <n v="182759"/>
    <n v="5.99"/>
    <n v="20109"/>
    <n v="994"/>
  </r>
  <r>
    <x v="55"/>
    <x v="0"/>
    <n v="564"/>
    <n v="244"/>
    <n v="279405"/>
    <n v="8.43"/>
    <n v="26024"/>
    <n v="320"/>
  </r>
  <r>
    <x v="55"/>
    <x v="1"/>
    <n v="668"/>
    <n v="124"/>
    <n v="257485"/>
    <n v="7.55"/>
    <n v="26730"/>
    <n v="544"/>
  </r>
  <r>
    <x v="55"/>
    <x v="2"/>
    <n v="761"/>
    <n v="241"/>
    <n v="154977"/>
    <n v="5.63"/>
    <n v="10563"/>
    <n v="520"/>
  </r>
  <r>
    <x v="56"/>
    <x v="0"/>
    <n v="593"/>
    <n v="108"/>
    <n v="216500"/>
    <n v="4.71"/>
    <n v="27575"/>
    <n v="485"/>
  </r>
  <r>
    <x v="56"/>
    <x v="1"/>
    <n v="1349"/>
    <n v="115"/>
    <n v="102102"/>
    <n v="5.28"/>
    <n v="14479"/>
    <n v="1234"/>
  </r>
  <r>
    <x v="56"/>
    <x v="2"/>
    <n v="693"/>
    <n v="97"/>
    <n v="92025"/>
    <n v="5.95"/>
    <n v="15915"/>
    <n v="596"/>
  </r>
  <r>
    <x v="57"/>
    <x v="0"/>
    <n v="974"/>
    <n v="143"/>
    <n v="247965"/>
    <n v="9.98"/>
    <n v="12767"/>
    <n v="831"/>
  </r>
  <r>
    <x v="57"/>
    <x v="1"/>
    <n v="1155"/>
    <n v="122"/>
    <n v="387352"/>
    <n v="9.93"/>
    <n v="12170"/>
    <n v="1033"/>
  </r>
  <r>
    <x v="57"/>
    <x v="2"/>
    <n v="1051"/>
    <n v="246"/>
    <n v="253985"/>
    <n v="9.08"/>
    <n v="7245"/>
    <n v="805"/>
  </r>
  <r>
    <x v="58"/>
    <x v="0"/>
    <n v="1457"/>
    <n v="183"/>
    <n v="129640"/>
    <n v="7.98"/>
    <n v="12985"/>
    <n v="1274"/>
  </r>
  <r>
    <x v="58"/>
    <x v="1"/>
    <n v="670"/>
    <n v="242"/>
    <n v="281913"/>
    <n v="9.6199999999999992"/>
    <n v="16377"/>
    <n v="428"/>
  </r>
  <r>
    <x v="58"/>
    <x v="2"/>
    <n v="1111"/>
    <n v="159"/>
    <n v="360770"/>
    <n v="8.7100000000000009"/>
    <n v="11453"/>
    <n v="952"/>
  </r>
  <r>
    <x v="59"/>
    <x v="0"/>
    <n v="1197"/>
    <n v="246"/>
    <n v="127273"/>
    <n v="6.69"/>
    <n v="12323"/>
    <n v="951"/>
  </r>
  <r>
    <x v="59"/>
    <x v="1"/>
    <n v="754"/>
    <n v="150"/>
    <n v="189622"/>
    <n v="4.25"/>
    <n v="11911"/>
    <n v="604"/>
  </r>
  <r>
    <x v="59"/>
    <x v="2"/>
    <n v="1246"/>
    <n v="107"/>
    <n v="350949"/>
    <n v="4.9800000000000004"/>
    <n v="27809"/>
    <n v="1139"/>
  </r>
  <r>
    <x v="60"/>
    <x v="0"/>
    <n v="780"/>
    <n v="213"/>
    <n v="121431"/>
    <n v="4.97"/>
    <n v="21464"/>
    <n v="567"/>
  </r>
  <r>
    <x v="60"/>
    <x v="1"/>
    <n v="1425"/>
    <n v="143"/>
    <n v="116742"/>
    <n v="3.71"/>
    <n v="27126"/>
    <n v="1282"/>
  </r>
  <r>
    <x v="60"/>
    <x v="2"/>
    <n v="1490"/>
    <n v="103"/>
    <n v="81184"/>
    <n v="7.79"/>
    <n v="10681"/>
    <n v="1387"/>
  </r>
  <r>
    <x v="61"/>
    <x v="0"/>
    <n v="949"/>
    <n v="282"/>
    <n v="87126"/>
    <n v="4.96"/>
    <n v="5413"/>
    <n v="667"/>
  </r>
  <r>
    <x v="61"/>
    <x v="1"/>
    <n v="640"/>
    <n v="141"/>
    <n v="267546"/>
    <n v="8.58"/>
    <n v="25058"/>
    <n v="499"/>
  </r>
  <r>
    <x v="61"/>
    <x v="2"/>
    <n v="616"/>
    <n v="93"/>
    <n v="133082"/>
    <n v="8.51"/>
    <n v="18303"/>
    <n v="523"/>
  </r>
  <r>
    <x v="62"/>
    <x v="0"/>
    <n v="1080"/>
    <n v="184"/>
    <n v="340557"/>
    <n v="5.41"/>
    <n v="5526"/>
    <n v="896"/>
  </r>
  <r>
    <x v="62"/>
    <x v="1"/>
    <n v="938"/>
    <n v="236"/>
    <n v="116472"/>
    <n v="8.7200000000000006"/>
    <n v="17460"/>
    <n v="702"/>
  </r>
  <r>
    <x v="62"/>
    <x v="2"/>
    <n v="1007"/>
    <n v="258"/>
    <n v="113412"/>
    <n v="7.71"/>
    <n v="14475"/>
    <n v="749"/>
  </r>
  <r>
    <x v="63"/>
    <x v="0"/>
    <n v="541"/>
    <n v="208"/>
    <n v="157547"/>
    <n v="8.35"/>
    <n v="20162"/>
    <n v="333"/>
  </r>
  <r>
    <x v="63"/>
    <x v="1"/>
    <n v="745"/>
    <n v="98"/>
    <n v="354816"/>
    <n v="4.03"/>
    <n v="17103"/>
    <n v="647"/>
  </r>
  <r>
    <x v="63"/>
    <x v="2"/>
    <n v="936"/>
    <n v="97"/>
    <n v="151799"/>
    <n v="9.3699999999999992"/>
    <n v="15461"/>
    <n v="839"/>
  </r>
  <r>
    <x v="64"/>
    <x v="0"/>
    <n v="1183"/>
    <n v="223"/>
    <n v="143811"/>
    <n v="6.07"/>
    <n v="22103"/>
    <n v="960"/>
  </r>
  <r>
    <x v="64"/>
    <x v="1"/>
    <n v="1413"/>
    <n v="245"/>
    <n v="296450"/>
    <n v="6.52"/>
    <n v="11625"/>
    <n v="1168"/>
  </r>
  <r>
    <x v="64"/>
    <x v="2"/>
    <n v="791"/>
    <n v="273"/>
    <n v="144049"/>
    <n v="3.08"/>
    <n v="5281"/>
    <n v="518"/>
  </r>
  <r>
    <x v="65"/>
    <x v="0"/>
    <n v="1052"/>
    <n v="180"/>
    <n v="272534"/>
    <n v="5.34"/>
    <n v="13424"/>
    <n v="872"/>
  </r>
  <r>
    <x v="65"/>
    <x v="1"/>
    <n v="572"/>
    <n v="270"/>
    <n v="82265"/>
    <n v="3.65"/>
    <n v="13140"/>
    <n v="302"/>
  </r>
  <r>
    <x v="65"/>
    <x v="2"/>
    <n v="503"/>
    <n v="253"/>
    <n v="313562"/>
    <n v="4.18"/>
    <n v="19538"/>
    <n v="250"/>
  </r>
  <r>
    <x v="66"/>
    <x v="0"/>
    <n v="1017"/>
    <n v="197"/>
    <n v="89918"/>
    <n v="3.91"/>
    <n v="7881"/>
    <n v="820"/>
  </r>
  <r>
    <x v="66"/>
    <x v="1"/>
    <n v="860"/>
    <n v="244"/>
    <n v="348686"/>
    <n v="5.12"/>
    <n v="11418"/>
    <n v="6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636A59-0162-49AF-86A0-87FAC75F9C42}"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Weeks">
  <location ref="A3:B70" firstHeaderRow="1" firstDataRow="1" firstDataCol="1"/>
  <pivotFields count="11">
    <pivotField axis="axisRow" numFmtId="14" showAll="0">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showAll="0">
      <items count="4">
        <item x="0"/>
        <item x="1"/>
        <item x="2"/>
        <item t="default"/>
      </items>
    </pivotField>
    <pivotField numFmtId="1" showAll="0"/>
    <pivotField numFmtId="1" showAll="0"/>
    <pivotField numFmtId="1" showAll="0"/>
    <pivotField numFmtId="2" showAll="0"/>
    <pivotField numFmtId="164"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0"/>
  </rowFields>
  <rowItems count="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rowItems>
  <colItems count="1">
    <i/>
  </colItems>
  <dataFields count="1">
    <dataField name="Total_Weekly_Followers_Gain" fld="7" baseField="0" baseItem="0" numFmtId="1"/>
  </dataFields>
  <formats count="10">
    <format dxfId="9">
      <pivotArea type="all" dataOnly="0" outline="0" fieldPosition="0"/>
    </format>
    <format dxfId="8">
      <pivotArea outline="0" collapsedLevelsAreSubtotals="1" fieldPosition="0"/>
    </format>
    <format dxfId="7">
      <pivotArea field="10" type="button" dataOnly="0" labelOnly="1" outline="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
      <pivotArea dataOnly="0" labelOnly="1" fieldPosition="0">
        <references count="1">
          <reference field="0" count="17">
            <x v="50"/>
            <x v="51"/>
            <x v="52"/>
            <x v="53"/>
            <x v="54"/>
            <x v="55"/>
            <x v="56"/>
            <x v="57"/>
            <x v="58"/>
            <x v="59"/>
            <x v="60"/>
            <x v="61"/>
            <x v="62"/>
            <x v="63"/>
            <x v="64"/>
            <x v="65"/>
            <x v="66"/>
          </reference>
        </references>
      </pivotArea>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0"/>
  <sheetViews>
    <sheetView showGridLines="0" zoomScaleNormal="100" workbookViewId="0">
      <selection activeCell="V9" sqref="V9"/>
    </sheetView>
  </sheetViews>
  <sheetFormatPr defaultColWidth="14.44140625" defaultRowHeight="15" customHeight="1"/>
  <cols>
    <col min="1" max="1" width="9.77734375" style="14" customWidth="1"/>
    <col min="2" max="2" width="11.109375" style="14" customWidth="1"/>
    <col min="3" max="3" width="11.21875" style="15" bestFit="1" customWidth="1"/>
    <col min="4" max="4" width="16" style="14" customWidth="1"/>
    <col min="5" max="5" width="42.33203125" style="14" bestFit="1" customWidth="1"/>
    <col min="6" max="6" width="8.109375" style="16" customWidth="1"/>
    <col min="7" max="7" width="9.6640625" style="16" customWidth="1"/>
    <col min="8" max="8" width="13.5546875" style="16" customWidth="1"/>
    <col min="9" max="10" width="14.88671875" style="16" customWidth="1"/>
    <col min="11" max="11" width="9" style="16" customWidth="1"/>
    <col min="12" max="12" width="8.77734375" style="16" customWidth="1"/>
    <col min="13" max="13" width="35.44140625" style="14" bestFit="1" customWidth="1"/>
    <col min="14" max="14" width="35.44140625" style="14" customWidth="1"/>
    <col min="15" max="15" width="19.44140625" style="14" customWidth="1"/>
    <col min="16" max="16" width="11.77734375" style="15" customWidth="1"/>
    <col min="17" max="17" width="11" style="15" customWidth="1"/>
    <col min="18" max="18" width="17.33203125" style="14" customWidth="1"/>
    <col min="19" max="28" width="8.6640625" style="14" customWidth="1"/>
    <col min="29" max="16384" width="14.44140625" style="14"/>
  </cols>
  <sheetData>
    <row r="1" spans="1:18" s="27" customFormat="1" thickBot="1">
      <c r="A1" s="28" t="s">
        <v>0</v>
      </c>
      <c r="B1" s="29" t="s">
        <v>1</v>
      </c>
      <c r="C1" s="30" t="s">
        <v>2</v>
      </c>
      <c r="D1" s="29" t="s">
        <v>3</v>
      </c>
      <c r="E1" s="31" t="s">
        <v>4</v>
      </c>
      <c r="F1" s="32" t="s">
        <v>5</v>
      </c>
      <c r="G1" s="32" t="s">
        <v>6</v>
      </c>
      <c r="H1" s="32" t="s">
        <v>7</v>
      </c>
      <c r="I1" s="32" t="s">
        <v>8</v>
      </c>
      <c r="J1" s="32" t="s">
        <v>339</v>
      </c>
      <c r="K1" s="32" t="s">
        <v>9</v>
      </c>
      <c r="L1" s="32" t="s">
        <v>10</v>
      </c>
      <c r="M1" s="31" t="s">
        <v>343</v>
      </c>
      <c r="N1" s="31" t="s">
        <v>342</v>
      </c>
      <c r="O1" s="31" t="s">
        <v>11</v>
      </c>
      <c r="P1" s="91" t="s">
        <v>337</v>
      </c>
      <c r="Q1" s="92" t="s">
        <v>338</v>
      </c>
      <c r="R1" s="93" t="s">
        <v>348</v>
      </c>
    </row>
    <row r="2" spans="1:18" ht="15.6" thickTop="1" thickBot="1">
      <c r="A2" s="21" t="s">
        <v>12</v>
      </c>
      <c r="B2" s="3" t="s">
        <v>13</v>
      </c>
      <c r="C2" s="2">
        <v>45781</v>
      </c>
      <c r="D2" s="3" t="s">
        <v>14</v>
      </c>
      <c r="E2" s="1" t="s">
        <v>15</v>
      </c>
      <c r="F2" s="4">
        <v>2414</v>
      </c>
      <c r="G2" s="4">
        <v>245</v>
      </c>
      <c r="H2" s="4">
        <v>137</v>
      </c>
      <c r="I2" s="4">
        <v>21181</v>
      </c>
      <c r="J2" s="4">
        <f>(F2+G2+H2)</f>
        <v>2796</v>
      </c>
      <c r="K2" s="4">
        <v>45292</v>
      </c>
      <c r="L2" s="4">
        <v>133</v>
      </c>
      <c r="M2" s="1" t="s">
        <v>37</v>
      </c>
      <c r="N2" s="1" t="s">
        <v>34</v>
      </c>
      <c r="O2" s="1" t="s">
        <v>16</v>
      </c>
      <c r="P2" s="89">
        <f>IFERROR(VLOOKUP(O2,'[1]Campaign Metadata'!A:C,2,FALSE),"")</f>
        <v>45667</v>
      </c>
      <c r="Q2" s="90">
        <f>IFERROR(VLOOKUP(O2,'[1]Campaign Metadata'!A:C,3,FALSE),"")</f>
        <v>45698</v>
      </c>
      <c r="R2" s="94" t="str">
        <f>IF(AND(C2&lt;=Q2,C2&gt;=P2),"During",IF(C2&gt;Q2,"After","Before"))</f>
        <v>After</v>
      </c>
    </row>
    <row r="3" spans="1:18" ht="15.6" thickTop="1" thickBot="1">
      <c r="A3" s="22" t="s">
        <v>17</v>
      </c>
      <c r="B3" s="7" t="s">
        <v>13</v>
      </c>
      <c r="C3" s="6">
        <v>45689</v>
      </c>
      <c r="D3" s="7" t="s">
        <v>14</v>
      </c>
      <c r="E3" s="5" t="s">
        <v>18</v>
      </c>
      <c r="F3" s="8">
        <v>1934</v>
      </c>
      <c r="G3" s="8">
        <v>210</v>
      </c>
      <c r="H3" s="8">
        <v>393</v>
      </c>
      <c r="I3" s="8">
        <v>29129</v>
      </c>
      <c r="J3" s="4">
        <f t="shared" ref="J3:J66" si="0">(F3+G3+H3)</f>
        <v>2537</v>
      </c>
      <c r="K3" s="8">
        <v>73287</v>
      </c>
      <c r="L3" s="8">
        <v>273</v>
      </c>
      <c r="M3" s="5" t="s">
        <v>19</v>
      </c>
      <c r="N3" s="5"/>
      <c r="O3" s="5" t="s">
        <v>20</v>
      </c>
      <c r="P3" s="89">
        <f>IFERROR(VLOOKUP(O3,'[1]Campaign Metadata'!A:C,2,FALSE),"")</f>
        <v>45717</v>
      </c>
      <c r="Q3" s="90">
        <f>IFERROR(VLOOKUP(O3,'[1]Campaign Metadata'!A:C,3,FALSE),"")</f>
        <v>45747</v>
      </c>
      <c r="R3" s="94" t="str">
        <f t="shared" ref="R3:R66" si="1">IF(AND(C3&lt;=Q3,C3&gt;=P3),"During",IF(C3&gt;Q3,"After","Before"))</f>
        <v>Before</v>
      </c>
    </row>
    <row r="4" spans="1:18" ht="15.6" thickTop="1" thickBot="1">
      <c r="A4" s="23" t="s">
        <v>21</v>
      </c>
      <c r="B4" s="11" t="s">
        <v>22</v>
      </c>
      <c r="C4" s="10">
        <v>45629</v>
      </c>
      <c r="D4" s="11" t="s">
        <v>23</v>
      </c>
      <c r="E4" s="9" t="s">
        <v>24</v>
      </c>
      <c r="F4" s="12">
        <v>3092</v>
      </c>
      <c r="G4" s="12">
        <v>177</v>
      </c>
      <c r="H4" s="12">
        <v>81</v>
      </c>
      <c r="I4" s="12">
        <v>47533</v>
      </c>
      <c r="J4" s="4">
        <f t="shared" si="0"/>
        <v>3350</v>
      </c>
      <c r="K4" s="12">
        <v>29220</v>
      </c>
      <c r="L4" s="12">
        <v>121</v>
      </c>
      <c r="M4" s="9" t="s">
        <v>341</v>
      </c>
      <c r="N4" s="9" t="s">
        <v>34</v>
      </c>
      <c r="O4" s="9" t="s">
        <v>16</v>
      </c>
      <c r="P4" s="89">
        <f>IFERROR(VLOOKUP(O4,'[1]Campaign Metadata'!A:C,2,FALSE),"")</f>
        <v>45667</v>
      </c>
      <c r="Q4" s="90">
        <f>IFERROR(VLOOKUP(O4,'[1]Campaign Metadata'!A:C,3,FALSE),"")</f>
        <v>45698</v>
      </c>
      <c r="R4" s="94" t="str">
        <f t="shared" si="1"/>
        <v>Before</v>
      </c>
    </row>
    <row r="5" spans="1:18" ht="15.6" thickTop="1" thickBot="1">
      <c r="A5" s="22" t="s">
        <v>25</v>
      </c>
      <c r="B5" s="7" t="s">
        <v>13</v>
      </c>
      <c r="C5" s="6">
        <v>45629</v>
      </c>
      <c r="D5" s="7" t="s">
        <v>14</v>
      </c>
      <c r="E5" s="5" t="s">
        <v>344</v>
      </c>
      <c r="F5" s="8">
        <v>3173</v>
      </c>
      <c r="G5" s="8">
        <v>229</v>
      </c>
      <c r="H5" s="8">
        <v>197</v>
      </c>
      <c r="I5" s="8">
        <v>29604</v>
      </c>
      <c r="J5" s="4">
        <f t="shared" si="0"/>
        <v>3599</v>
      </c>
      <c r="K5" s="8">
        <v>21809</v>
      </c>
      <c r="L5" s="8">
        <v>272</v>
      </c>
      <c r="M5" s="5" t="s">
        <v>37</v>
      </c>
      <c r="N5" s="5" t="s">
        <v>34</v>
      </c>
      <c r="O5" s="5" t="s">
        <v>16</v>
      </c>
      <c r="P5" s="89">
        <f>IFERROR(VLOOKUP(O5,'[1]Campaign Metadata'!A:C,2,FALSE),"")</f>
        <v>45667</v>
      </c>
      <c r="Q5" s="90">
        <f>IFERROR(VLOOKUP(O5,'[1]Campaign Metadata'!A:C,3,FALSE),"")</f>
        <v>45698</v>
      </c>
      <c r="R5" s="94" t="str">
        <f t="shared" si="1"/>
        <v>Before</v>
      </c>
    </row>
    <row r="6" spans="1:18" ht="15.6" thickTop="1" thickBot="1">
      <c r="A6" s="23" t="s">
        <v>26</v>
      </c>
      <c r="B6" s="11" t="s">
        <v>27</v>
      </c>
      <c r="C6" s="10">
        <v>45388</v>
      </c>
      <c r="D6" s="11" t="s">
        <v>14</v>
      </c>
      <c r="E6" s="9" t="s">
        <v>345</v>
      </c>
      <c r="F6" s="12">
        <v>2748</v>
      </c>
      <c r="G6" s="12">
        <v>145</v>
      </c>
      <c r="H6" s="12">
        <v>315</v>
      </c>
      <c r="I6" s="12">
        <v>24401</v>
      </c>
      <c r="J6" s="4">
        <f t="shared" si="0"/>
        <v>3208</v>
      </c>
      <c r="K6" s="12">
        <v>61182</v>
      </c>
      <c r="L6" s="12">
        <v>200</v>
      </c>
      <c r="M6" s="9" t="s">
        <v>19</v>
      </c>
      <c r="N6" s="9" t="s">
        <v>340</v>
      </c>
      <c r="O6" s="9" t="s">
        <v>20</v>
      </c>
      <c r="P6" s="89">
        <f>IFERROR(VLOOKUP(O6,'[1]Campaign Metadata'!A:C,2,FALSE),"")</f>
        <v>45717</v>
      </c>
      <c r="Q6" s="90">
        <f>IFERROR(VLOOKUP(O6,'[1]Campaign Metadata'!A:C,3,FALSE),"")</f>
        <v>45747</v>
      </c>
      <c r="R6" s="94" t="str">
        <f t="shared" si="1"/>
        <v>Before</v>
      </c>
    </row>
    <row r="7" spans="1:18" ht="15.6" thickTop="1" thickBot="1">
      <c r="A7" s="22" t="s">
        <v>28</v>
      </c>
      <c r="B7" s="7" t="s">
        <v>27</v>
      </c>
      <c r="C7" s="6">
        <v>45456</v>
      </c>
      <c r="D7" s="7" t="s">
        <v>14</v>
      </c>
      <c r="E7" s="5" t="s">
        <v>346</v>
      </c>
      <c r="F7" s="8">
        <v>3882</v>
      </c>
      <c r="G7" s="8">
        <v>239</v>
      </c>
      <c r="H7" s="8">
        <v>275</v>
      </c>
      <c r="I7" s="8">
        <v>58748</v>
      </c>
      <c r="J7" s="4">
        <f t="shared" si="0"/>
        <v>4396</v>
      </c>
      <c r="K7" s="8">
        <v>44646</v>
      </c>
      <c r="L7" s="8">
        <v>149</v>
      </c>
      <c r="M7" s="5" t="s">
        <v>19</v>
      </c>
      <c r="N7" s="5" t="s">
        <v>340</v>
      </c>
      <c r="O7" s="5" t="s">
        <v>20</v>
      </c>
      <c r="P7" s="89">
        <f>IFERROR(VLOOKUP(O7,'[1]Campaign Metadata'!A:C,2,FALSE),"")</f>
        <v>45717</v>
      </c>
      <c r="Q7" s="90">
        <f>IFERROR(VLOOKUP(O7,'[1]Campaign Metadata'!A:C,3,FALSE),"")</f>
        <v>45747</v>
      </c>
      <c r="R7" s="94" t="str">
        <f t="shared" si="1"/>
        <v>Before</v>
      </c>
    </row>
    <row r="8" spans="1:18" ht="15.6" thickTop="1" thickBot="1">
      <c r="A8" s="23" t="s">
        <v>29</v>
      </c>
      <c r="B8" s="11" t="s">
        <v>22</v>
      </c>
      <c r="C8" s="10">
        <v>45645</v>
      </c>
      <c r="D8" s="11" t="s">
        <v>23</v>
      </c>
      <c r="E8" s="9" t="s">
        <v>30</v>
      </c>
      <c r="F8" s="12">
        <v>4674</v>
      </c>
      <c r="G8" s="12">
        <v>409</v>
      </c>
      <c r="H8" s="12">
        <v>327</v>
      </c>
      <c r="I8" s="12">
        <v>20756</v>
      </c>
      <c r="J8" s="4">
        <f t="shared" si="0"/>
        <v>5410</v>
      </c>
      <c r="K8" s="12">
        <v>63599</v>
      </c>
      <c r="L8" s="12">
        <v>212</v>
      </c>
      <c r="M8" s="9" t="s">
        <v>37</v>
      </c>
      <c r="N8" s="9" t="s">
        <v>34</v>
      </c>
      <c r="O8" s="9" t="s">
        <v>16</v>
      </c>
      <c r="P8" s="89">
        <f>IFERROR(VLOOKUP(O8,'[1]Campaign Metadata'!A:C,2,FALSE),"")</f>
        <v>45667</v>
      </c>
      <c r="Q8" s="90">
        <f>IFERROR(VLOOKUP(O8,'[1]Campaign Metadata'!A:C,3,FALSE),"")</f>
        <v>45698</v>
      </c>
      <c r="R8" s="94" t="str">
        <f t="shared" si="1"/>
        <v>Before</v>
      </c>
    </row>
    <row r="9" spans="1:18" ht="15.6" thickTop="1" thickBot="1">
      <c r="A9" s="22" t="s">
        <v>31</v>
      </c>
      <c r="B9" s="7" t="s">
        <v>22</v>
      </c>
      <c r="C9" s="6">
        <v>45421</v>
      </c>
      <c r="D9" s="7" t="s">
        <v>23</v>
      </c>
      <c r="E9" s="5" t="s">
        <v>344</v>
      </c>
      <c r="F9" s="8">
        <v>1428</v>
      </c>
      <c r="G9" s="8">
        <v>347</v>
      </c>
      <c r="H9" s="8">
        <v>67</v>
      </c>
      <c r="I9" s="8">
        <v>21148</v>
      </c>
      <c r="J9" s="4">
        <f t="shared" si="0"/>
        <v>1842</v>
      </c>
      <c r="K9" s="8">
        <v>19712</v>
      </c>
      <c r="L9" s="8">
        <v>120</v>
      </c>
      <c r="M9" s="5" t="s">
        <v>19</v>
      </c>
      <c r="N9" s="5" t="s">
        <v>341</v>
      </c>
      <c r="O9" s="5" t="s">
        <v>16</v>
      </c>
      <c r="P9" s="89">
        <f>IFERROR(VLOOKUP(O9,'[1]Campaign Metadata'!A:C,2,FALSE),"")</f>
        <v>45667</v>
      </c>
      <c r="Q9" s="90">
        <f>IFERROR(VLOOKUP(O9,'[1]Campaign Metadata'!A:C,3,FALSE),"")</f>
        <v>45698</v>
      </c>
      <c r="R9" s="94" t="str">
        <f t="shared" si="1"/>
        <v>Before</v>
      </c>
    </row>
    <row r="10" spans="1:18" ht="15.6" thickTop="1" thickBot="1">
      <c r="A10" s="23" t="s">
        <v>32</v>
      </c>
      <c r="B10" s="11" t="s">
        <v>22</v>
      </c>
      <c r="C10" s="10">
        <v>45823</v>
      </c>
      <c r="D10" s="11" t="s">
        <v>14</v>
      </c>
      <c r="E10" s="9" t="s">
        <v>33</v>
      </c>
      <c r="F10" s="12">
        <v>4432</v>
      </c>
      <c r="G10" s="12">
        <v>223</v>
      </c>
      <c r="H10" s="12">
        <v>299</v>
      </c>
      <c r="I10" s="12">
        <v>59016</v>
      </c>
      <c r="J10" s="4">
        <f t="shared" si="0"/>
        <v>4954</v>
      </c>
      <c r="K10" s="12">
        <v>21742</v>
      </c>
      <c r="L10" s="12">
        <v>171</v>
      </c>
      <c r="M10" s="9" t="s">
        <v>34</v>
      </c>
      <c r="N10" s="9"/>
      <c r="O10" s="9" t="s">
        <v>16</v>
      </c>
      <c r="P10" s="89">
        <f>IFERROR(VLOOKUP(O10,'[1]Campaign Metadata'!A:C,2,FALSE),"")</f>
        <v>45667</v>
      </c>
      <c r="Q10" s="90">
        <f>IFERROR(VLOOKUP(O10,'[1]Campaign Metadata'!A:C,3,FALSE),"")</f>
        <v>45698</v>
      </c>
      <c r="R10" s="94" t="str">
        <f t="shared" si="1"/>
        <v>After</v>
      </c>
    </row>
    <row r="11" spans="1:18" ht="15.6" thickTop="1" thickBot="1">
      <c r="A11" s="22" t="s">
        <v>35</v>
      </c>
      <c r="B11" s="7" t="s">
        <v>22</v>
      </c>
      <c r="C11" s="6">
        <v>45630</v>
      </c>
      <c r="D11" s="7" t="s">
        <v>14</v>
      </c>
      <c r="E11" s="5" t="s">
        <v>344</v>
      </c>
      <c r="F11" s="8">
        <v>2357</v>
      </c>
      <c r="G11" s="8">
        <v>274</v>
      </c>
      <c r="H11" s="8">
        <v>172</v>
      </c>
      <c r="I11" s="8">
        <v>21566</v>
      </c>
      <c r="J11" s="4">
        <f t="shared" si="0"/>
        <v>2803</v>
      </c>
      <c r="K11" s="8">
        <v>66829</v>
      </c>
      <c r="L11" s="8">
        <v>284</v>
      </c>
      <c r="M11" s="5" t="s">
        <v>34</v>
      </c>
      <c r="N11" s="5"/>
      <c r="O11" s="5" t="s">
        <v>16</v>
      </c>
      <c r="P11" s="89">
        <f>IFERROR(VLOOKUP(O11,'[1]Campaign Metadata'!A:C,2,FALSE),"")</f>
        <v>45667</v>
      </c>
      <c r="Q11" s="90">
        <f>IFERROR(VLOOKUP(O11,'[1]Campaign Metadata'!A:C,3,FALSE),"")</f>
        <v>45698</v>
      </c>
      <c r="R11" s="94" t="str">
        <f t="shared" si="1"/>
        <v>Before</v>
      </c>
    </row>
    <row r="12" spans="1:18" ht="15.6" thickTop="1" thickBot="1">
      <c r="A12" s="23" t="s">
        <v>36</v>
      </c>
      <c r="B12" s="11" t="s">
        <v>22</v>
      </c>
      <c r="C12" s="10">
        <v>45357</v>
      </c>
      <c r="D12" s="11" t="s">
        <v>14</v>
      </c>
      <c r="E12" s="9" t="s">
        <v>15</v>
      </c>
      <c r="F12" s="12">
        <v>1971</v>
      </c>
      <c r="G12" s="12">
        <v>370</v>
      </c>
      <c r="H12" s="12">
        <v>306</v>
      </c>
      <c r="I12" s="12">
        <v>31316</v>
      </c>
      <c r="J12" s="4">
        <f t="shared" si="0"/>
        <v>2647</v>
      </c>
      <c r="K12" s="12">
        <v>27897</v>
      </c>
      <c r="L12" s="12">
        <v>88</v>
      </c>
      <c r="M12" s="9" t="s">
        <v>37</v>
      </c>
      <c r="N12" s="9"/>
      <c r="O12" s="9" t="s">
        <v>20</v>
      </c>
      <c r="P12" s="89">
        <f>IFERROR(VLOOKUP(O12,'[1]Campaign Metadata'!A:C,2,FALSE),"")</f>
        <v>45717</v>
      </c>
      <c r="Q12" s="90">
        <f>IFERROR(VLOOKUP(O12,'[1]Campaign Metadata'!A:C,3,FALSE),"")</f>
        <v>45747</v>
      </c>
      <c r="R12" s="94" t="str">
        <f t="shared" si="1"/>
        <v>Before</v>
      </c>
    </row>
    <row r="13" spans="1:18" ht="15.6" thickTop="1" thickBot="1">
      <c r="A13" s="22" t="s">
        <v>38</v>
      </c>
      <c r="B13" s="7" t="s">
        <v>13</v>
      </c>
      <c r="C13" s="6">
        <v>45426</v>
      </c>
      <c r="D13" s="7" t="s">
        <v>14</v>
      </c>
      <c r="E13" s="5" t="s">
        <v>15</v>
      </c>
      <c r="F13" s="8">
        <v>1485</v>
      </c>
      <c r="G13" s="8">
        <v>353</v>
      </c>
      <c r="H13" s="8">
        <v>244</v>
      </c>
      <c r="I13" s="8">
        <v>38419</v>
      </c>
      <c r="J13" s="4">
        <f t="shared" si="0"/>
        <v>2082</v>
      </c>
      <c r="K13" s="8">
        <v>38556</v>
      </c>
      <c r="L13" s="8">
        <v>86</v>
      </c>
      <c r="M13" s="5" t="s">
        <v>37</v>
      </c>
      <c r="N13" s="5" t="s">
        <v>34</v>
      </c>
      <c r="O13" s="5" t="s">
        <v>16</v>
      </c>
      <c r="P13" s="89">
        <f>IFERROR(VLOOKUP(O13,'[1]Campaign Metadata'!A:C,2,FALSE),"")</f>
        <v>45667</v>
      </c>
      <c r="Q13" s="90">
        <f>IFERROR(VLOOKUP(O13,'[1]Campaign Metadata'!A:C,3,FALSE),"")</f>
        <v>45698</v>
      </c>
      <c r="R13" s="94" t="str">
        <f t="shared" si="1"/>
        <v>Before</v>
      </c>
    </row>
    <row r="14" spans="1:18" ht="15.6" thickTop="1" thickBot="1">
      <c r="A14" s="23" t="s">
        <v>39</v>
      </c>
      <c r="B14" s="11" t="s">
        <v>22</v>
      </c>
      <c r="C14" s="10">
        <v>45826</v>
      </c>
      <c r="D14" s="11" t="s">
        <v>23</v>
      </c>
      <c r="E14" s="9" t="s">
        <v>15</v>
      </c>
      <c r="F14" s="12">
        <v>3956</v>
      </c>
      <c r="G14" s="12">
        <v>319</v>
      </c>
      <c r="H14" s="12">
        <v>61</v>
      </c>
      <c r="I14" s="12">
        <v>58162</v>
      </c>
      <c r="J14" s="4">
        <f t="shared" si="0"/>
        <v>4336</v>
      </c>
      <c r="K14" s="12">
        <v>28720</v>
      </c>
      <c r="L14" s="12">
        <v>213</v>
      </c>
      <c r="M14" s="9" t="s">
        <v>341</v>
      </c>
      <c r="N14" s="9" t="s">
        <v>34</v>
      </c>
      <c r="O14" s="9" t="s">
        <v>16</v>
      </c>
      <c r="P14" s="89">
        <f>IFERROR(VLOOKUP(O14,'[1]Campaign Metadata'!A:C,2,FALSE),"")</f>
        <v>45667</v>
      </c>
      <c r="Q14" s="90">
        <f>IFERROR(VLOOKUP(O14,'[1]Campaign Metadata'!A:C,3,FALSE),"")</f>
        <v>45698</v>
      </c>
      <c r="R14" s="94" t="str">
        <f t="shared" si="1"/>
        <v>After</v>
      </c>
    </row>
    <row r="15" spans="1:18" ht="15.6" thickTop="1" thickBot="1">
      <c r="A15" s="22" t="s">
        <v>40</v>
      </c>
      <c r="B15" s="7" t="s">
        <v>22</v>
      </c>
      <c r="C15" s="6">
        <v>45573</v>
      </c>
      <c r="D15" s="7" t="s">
        <v>14</v>
      </c>
      <c r="E15" s="5" t="s">
        <v>347</v>
      </c>
      <c r="F15" s="8">
        <v>2460</v>
      </c>
      <c r="G15" s="8">
        <v>409</v>
      </c>
      <c r="H15" s="8">
        <v>253</v>
      </c>
      <c r="I15" s="8">
        <v>36702</v>
      </c>
      <c r="J15" s="4">
        <f t="shared" si="0"/>
        <v>3122</v>
      </c>
      <c r="K15" s="8">
        <v>46122</v>
      </c>
      <c r="L15" s="8">
        <v>264</v>
      </c>
      <c r="M15" s="5" t="s">
        <v>34</v>
      </c>
      <c r="N15" s="5"/>
      <c r="O15" s="5" t="s">
        <v>16</v>
      </c>
      <c r="P15" s="89">
        <f>IFERROR(VLOOKUP(O15,'[1]Campaign Metadata'!A:C,2,FALSE),"")</f>
        <v>45667</v>
      </c>
      <c r="Q15" s="90">
        <f>IFERROR(VLOOKUP(O15,'[1]Campaign Metadata'!A:C,3,FALSE),"")</f>
        <v>45698</v>
      </c>
      <c r="R15" s="94" t="str">
        <f t="shared" si="1"/>
        <v>Before</v>
      </c>
    </row>
    <row r="16" spans="1:18" ht="15.6" thickTop="1" thickBot="1">
      <c r="A16" s="23" t="s">
        <v>41</v>
      </c>
      <c r="B16" s="11" t="s">
        <v>22</v>
      </c>
      <c r="C16" s="10">
        <v>45418</v>
      </c>
      <c r="D16" s="11" t="s">
        <v>14</v>
      </c>
      <c r="E16" s="9" t="s">
        <v>42</v>
      </c>
      <c r="F16" s="12">
        <v>3476</v>
      </c>
      <c r="G16" s="12">
        <v>355</v>
      </c>
      <c r="H16" s="12">
        <v>396</v>
      </c>
      <c r="I16" s="12">
        <v>37492</v>
      </c>
      <c r="J16" s="4">
        <f t="shared" si="0"/>
        <v>4227</v>
      </c>
      <c r="K16" s="12">
        <v>27285</v>
      </c>
      <c r="L16" s="12">
        <v>179</v>
      </c>
      <c r="M16" s="9" t="s">
        <v>34</v>
      </c>
      <c r="N16" s="9"/>
      <c r="O16" s="9" t="s">
        <v>16</v>
      </c>
      <c r="P16" s="89">
        <f>IFERROR(VLOOKUP(O16,'[1]Campaign Metadata'!A:C,2,FALSE),"")</f>
        <v>45667</v>
      </c>
      <c r="Q16" s="90">
        <f>IFERROR(VLOOKUP(O16,'[1]Campaign Metadata'!A:C,3,FALSE),"")</f>
        <v>45698</v>
      </c>
      <c r="R16" s="94" t="str">
        <f t="shared" si="1"/>
        <v>Before</v>
      </c>
    </row>
    <row r="17" spans="1:18" ht="15.6" thickTop="1" thickBot="1">
      <c r="A17" s="22" t="s">
        <v>43</v>
      </c>
      <c r="B17" s="7" t="s">
        <v>22</v>
      </c>
      <c r="C17" s="6">
        <v>45655</v>
      </c>
      <c r="D17" s="7" t="s">
        <v>23</v>
      </c>
      <c r="E17" s="5" t="s">
        <v>24</v>
      </c>
      <c r="F17" s="8">
        <v>4049</v>
      </c>
      <c r="G17" s="8">
        <v>377</v>
      </c>
      <c r="H17" s="8">
        <v>94</v>
      </c>
      <c r="I17" s="8">
        <v>48182</v>
      </c>
      <c r="J17" s="4">
        <f t="shared" si="0"/>
        <v>4520</v>
      </c>
      <c r="K17" s="8">
        <v>42875</v>
      </c>
      <c r="L17" s="8">
        <v>172</v>
      </c>
      <c r="M17" s="5" t="s">
        <v>341</v>
      </c>
      <c r="N17" s="5" t="s">
        <v>34</v>
      </c>
      <c r="O17" s="5" t="s">
        <v>16</v>
      </c>
      <c r="P17" s="89">
        <f>IFERROR(VLOOKUP(O17,'[1]Campaign Metadata'!A:C,2,FALSE),"")</f>
        <v>45667</v>
      </c>
      <c r="Q17" s="90">
        <f>IFERROR(VLOOKUP(O17,'[1]Campaign Metadata'!A:C,3,FALSE),"")</f>
        <v>45698</v>
      </c>
      <c r="R17" s="94" t="str">
        <f t="shared" si="1"/>
        <v>Before</v>
      </c>
    </row>
    <row r="18" spans="1:18" ht="15.6" thickTop="1" thickBot="1">
      <c r="A18" s="23" t="s">
        <v>44</v>
      </c>
      <c r="B18" s="11" t="s">
        <v>22</v>
      </c>
      <c r="C18" s="10">
        <v>45453</v>
      </c>
      <c r="D18" s="11" t="s">
        <v>14</v>
      </c>
      <c r="E18" s="9" t="s">
        <v>346</v>
      </c>
      <c r="F18" s="12">
        <v>1514</v>
      </c>
      <c r="G18" s="12">
        <v>164</v>
      </c>
      <c r="H18" s="12">
        <v>275</v>
      </c>
      <c r="I18" s="12">
        <v>41364</v>
      </c>
      <c r="J18" s="4">
        <f t="shared" si="0"/>
        <v>1953</v>
      </c>
      <c r="K18" s="12">
        <v>44389</v>
      </c>
      <c r="L18" s="12">
        <v>83</v>
      </c>
      <c r="M18" s="9" t="s">
        <v>34</v>
      </c>
      <c r="N18" s="9"/>
      <c r="O18" s="9" t="s">
        <v>16</v>
      </c>
      <c r="P18" s="89">
        <f>IFERROR(VLOOKUP(O18,'[1]Campaign Metadata'!A:C,2,FALSE),"")</f>
        <v>45667</v>
      </c>
      <c r="Q18" s="90">
        <f>IFERROR(VLOOKUP(O18,'[1]Campaign Metadata'!A:C,3,FALSE),"")</f>
        <v>45698</v>
      </c>
      <c r="R18" s="94" t="str">
        <f t="shared" si="1"/>
        <v>Before</v>
      </c>
    </row>
    <row r="19" spans="1:18" ht="15.6" thickTop="1" thickBot="1">
      <c r="A19" s="22" t="s">
        <v>45</v>
      </c>
      <c r="B19" s="7" t="s">
        <v>13</v>
      </c>
      <c r="C19" s="6">
        <v>45325</v>
      </c>
      <c r="D19" s="7" t="s">
        <v>23</v>
      </c>
      <c r="E19" s="5" t="s">
        <v>345</v>
      </c>
      <c r="F19" s="8">
        <v>4281</v>
      </c>
      <c r="G19" s="8">
        <v>101</v>
      </c>
      <c r="H19" s="8">
        <v>163</v>
      </c>
      <c r="I19" s="8">
        <v>32278</v>
      </c>
      <c r="J19" s="4">
        <f t="shared" si="0"/>
        <v>4545</v>
      </c>
      <c r="K19" s="8">
        <v>53382</v>
      </c>
      <c r="L19" s="8">
        <v>235</v>
      </c>
      <c r="M19" s="5" t="s">
        <v>34</v>
      </c>
      <c r="N19" s="5"/>
      <c r="O19" s="5" t="s">
        <v>46</v>
      </c>
      <c r="P19" s="89">
        <f>IFERROR(VLOOKUP(O19,'[1]Campaign Metadata'!A:C,2,FALSE),"")</f>
        <v>45627</v>
      </c>
      <c r="Q19" s="90">
        <f>IFERROR(VLOOKUP(O19,'[1]Campaign Metadata'!A:C,3,FALSE),"")</f>
        <v>45657</v>
      </c>
      <c r="R19" s="94" t="str">
        <f t="shared" si="1"/>
        <v>Before</v>
      </c>
    </row>
    <row r="20" spans="1:18" ht="15.6" thickTop="1" thickBot="1">
      <c r="A20" s="23" t="s">
        <v>47</v>
      </c>
      <c r="B20" s="11" t="s">
        <v>27</v>
      </c>
      <c r="C20" s="10">
        <v>45458</v>
      </c>
      <c r="D20" s="11" t="s">
        <v>48</v>
      </c>
      <c r="E20" s="9" t="s">
        <v>30</v>
      </c>
      <c r="F20" s="12">
        <v>1751</v>
      </c>
      <c r="G20" s="12">
        <v>143</v>
      </c>
      <c r="H20" s="12">
        <v>151</v>
      </c>
      <c r="I20" s="12">
        <v>31826</v>
      </c>
      <c r="J20" s="4">
        <f t="shared" si="0"/>
        <v>2045</v>
      </c>
      <c r="K20" s="12">
        <v>47729</v>
      </c>
      <c r="L20" s="12">
        <v>95</v>
      </c>
      <c r="M20" s="9" t="s">
        <v>19</v>
      </c>
      <c r="N20" s="9" t="s">
        <v>37</v>
      </c>
      <c r="O20" s="9" t="s">
        <v>49</v>
      </c>
      <c r="P20" s="89">
        <f>IFERROR(VLOOKUP(O20,'[1]Campaign Metadata'!A:C,2,FALSE),"")</f>
        <v>45458</v>
      </c>
      <c r="Q20" s="90">
        <f>IFERROR(VLOOKUP(O20,'[1]Campaign Metadata'!A:C,3,FALSE),"")</f>
        <v>45488</v>
      </c>
      <c r="R20" s="94" t="str">
        <f t="shared" si="1"/>
        <v>During</v>
      </c>
    </row>
    <row r="21" spans="1:18" ht="15.75" customHeight="1" thickTop="1" thickBot="1">
      <c r="A21" s="22" t="s">
        <v>50</v>
      </c>
      <c r="B21" s="7" t="s">
        <v>13</v>
      </c>
      <c r="C21" s="6">
        <v>45478</v>
      </c>
      <c r="D21" s="7" t="s">
        <v>14</v>
      </c>
      <c r="E21" s="5" t="s">
        <v>42</v>
      </c>
      <c r="F21" s="8">
        <v>3753</v>
      </c>
      <c r="G21" s="8">
        <v>411</v>
      </c>
      <c r="H21" s="8">
        <v>308</v>
      </c>
      <c r="I21" s="8">
        <v>29138</v>
      </c>
      <c r="J21" s="4">
        <f t="shared" si="0"/>
        <v>4472</v>
      </c>
      <c r="K21" s="8">
        <v>27678</v>
      </c>
      <c r="L21" s="8">
        <v>90</v>
      </c>
      <c r="M21" s="5" t="s">
        <v>19</v>
      </c>
      <c r="N21" s="5"/>
      <c r="O21" s="5" t="s">
        <v>20</v>
      </c>
      <c r="P21" s="89">
        <f>IFERROR(VLOOKUP(O21,'[1]Campaign Metadata'!A:C,2,FALSE),"")</f>
        <v>45717</v>
      </c>
      <c r="Q21" s="90">
        <f>IFERROR(VLOOKUP(O21,'[1]Campaign Metadata'!A:C,3,FALSE),"")</f>
        <v>45747</v>
      </c>
      <c r="R21" s="94" t="str">
        <f t="shared" si="1"/>
        <v>Before</v>
      </c>
    </row>
    <row r="22" spans="1:18" ht="15.75" customHeight="1" thickTop="1" thickBot="1">
      <c r="A22" s="23" t="s">
        <v>51</v>
      </c>
      <c r="B22" s="11" t="s">
        <v>13</v>
      </c>
      <c r="C22" s="10">
        <v>45603</v>
      </c>
      <c r="D22" s="11" t="s">
        <v>23</v>
      </c>
      <c r="E22" s="9" t="s">
        <v>344</v>
      </c>
      <c r="F22" s="12">
        <v>1678</v>
      </c>
      <c r="G22" s="12">
        <v>423</v>
      </c>
      <c r="H22" s="12">
        <v>323</v>
      </c>
      <c r="I22" s="12">
        <v>55668</v>
      </c>
      <c r="J22" s="4">
        <f t="shared" si="0"/>
        <v>2424</v>
      </c>
      <c r="K22" s="12">
        <v>37945</v>
      </c>
      <c r="L22" s="12">
        <v>230</v>
      </c>
      <c r="M22" s="9" t="s">
        <v>34</v>
      </c>
      <c r="N22" s="9"/>
      <c r="O22" s="9" t="s">
        <v>46</v>
      </c>
      <c r="P22" s="89">
        <f>IFERROR(VLOOKUP(O22,'[1]Campaign Metadata'!A:C,2,FALSE),"")</f>
        <v>45627</v>
      </c>
      <c r="Q22" s="90">
        <f>IFERROR(VLOOKUP(O22,'[1]Campaign Metadata'!A:C,3,FALSE),"")</f>
        <v>45657</v>
      </c>
      <c r="R22" s="94" t="str">
        <f t="shared" si="1"/>
        <v>Before</v>
      </c>
    </row>
    <row r="23" spans="1:18" ht="15.75" customHeight="1" thickTop="1" thickBot="1">
      <c r="A23" s="22" t="s">
        <v>52</v>
      </c>
      <c r="B23" s="7" t="s">
        <v>13</v>
      </c>
      <c r="C23" s="6">
        <v>45823</v>
      </c>
      <c r="D23" s="7" t="s">
        <v>14</v>
      </c>
      <c r="E23" s="5" t="s">
        <v>346</v>
      </c>
      <c r="F23" s="8">
        <v>4896</v>
      </c>
      <c r="G23" s="8">
        <v>466</v>
      </c>
      <c r="H23" s="8">
        <v>233</v>
      </c>
      <c r="I23" s="8">
        <v>28621</v>
      </c>
      <c r="J23" s="4">
        <f t="shared" si="0"/>
        <v>5595</v>
      </c>
      <c r="K23" s="8">
        <v>34270</v>
      </c>
      <c r="L23" s="8">
        <v>84</v>
      </c>
      <c r="M23" s="5" t="s">
        <v>37</v>
      </c>
      <c r="N23" s="5" t="s">
        <v>34</v>
      </c>
      <c r="O23" s="5" t="s">
        <v>16</v>
      </c>
      <c r="P23" s="89">
        <f>IFERROR(VLOOKUP(O23,'[1]Campaign Metadata'!A:C,2,FALSE),"")</f>
        <v>45667</v>
      </c>
      <c r="Q23" s="90">
        <f>IFERROR(VLOOKUP(O23,'[1]Campaign Metadata'!A:C,3,FALSE),"")</f>
        <v>45698</v>
      </c>
      <c r="R23" s="94" t="str">
        <f t="shared" si="1"/>
        <v>After</v>
      </c>
    </row>
    <row r="24" spans="1:18" ht="15.75" customHeight="1" thickTop="1" thickBot="1">
      <c r="A24" s="23" t="s">
        <v>53</v>
      </c>
      <c r="B24" s="11" t="s">
        <v>27</v>
      </c>
      <c r="C24" s="10">
        <v>45452</v>
      </c>
      <c r="D24" s="11" t="s">
        <v>48</v>
      </c>
      <c r="E24" s="9" t="s">
        <v>347</v>
      </c>
      <c r="F24" s="12">
        <v>2786</v>
      </c>
      <c r="G24" s="12">
        <v>368</v>
      </c>
      <c r="H24" s="12">
        <v>208</v>
      </c>
      <c r="I24" s="12">
        <v>42000</v>
      </c>
      <c r="J24" s="4">
        <f t="shared" si="0"/>
        <v>3362</v>
      </c>
      <c r="K24" s="12">
        <v>39967</v>
      </c>
      <c r="L24" s="12">
        <v>103</v>
      </c>
      <c r="M24" s="9" t="s">
        <v>19</v>
      </c>
      <c r="N24" s="9" t="s">
        <v>37</v>
      </c>
      <c r="O24" s="9" t="s">
        <v>49</v>
      </c>
      <c r="P24" s="89">
        <f>IFERROR(VLOOKUP(O24,'[1]Campaign Metadata'!A:C,2,FALSE),"")</f>
        <v>45458</v>
      </c>
      <c r="Q24" s="90">
        <f>IFERROR(VLOOKUP(O24,'[1]Campaign Metadata'!A:C,3,FALSE),"")</f>
        <v>45488</v>
      </c>
      <c r="R24" s="94" t="str">
        <f t="shared" si="1"/>
        <v>Before</v>
      </c>
    </row>
    <row r="25" spans="1:18" ht="15.75" customHeight="1" thickTop="1" thickBot="1">
      <c r="A25" s="22" t="s">
        <v>54</v>
      </c>
      <c r="B25" s="7" t="s">
        <v>22</v>
      </c>
      <c r="C25" s="6">
        <v>45583</v>
      </c>
      <c r="D25" s="7" t="s">
        <v>14</v>
      </c>
      <c r="E25" s="5" t="s">
        <v>24</v>
      </c>
      <c r="F25" s="8">
        <v>2607</v>
      </c>
      <c r="G25" s="8">
        <v>379</v>
      </c>
      <c r="H25" s="8">
        <v>180</v>
      </c>
      <c r="I25" s="8">
        <v>28712</v>
      </c>
      <c r="J25" s="4">
        <f t="shared" si="0"/>
        <v>3166</v>
      </c>
      <c r="K25" s="8">
        <v>61620</v>
      </c>
      <c r="L25" s="8">
        <v>174</v>
      </c>
      <c r="M25" s="5" t="s">
        <v>37</v>
      </c>
      <c r="N25" s="5"/>
      <c r="O25" s="5" t="s">
        <v>20</v>
      </c>
      <c r="P25" s="89">
        <f>IFERROR(VLOOKUP(O25,'[1]Campaign Metadata'!A:C,2,FALSE),"")</f>
        <v>45717</v>
      </c>
      <c r="Q25" s="90">
        <f>IFERROR(VLOOKUP(O25,'[1]Campaign Metadata'!A:C,3,FALSE),"")</f>
        <v>45747</v>
      </c>
      <c r="R25" s="94" t="str">
        <f t="shared" si="1"/>
        <v>Before</v>
      </c>
    </row>
    <row r="26" spans="1:18" ht="15.75" customHeight="1" thickTop="1" thickBot="1">
      <c r="A26" s="23" t="s">
        <v>55</v>
      </c>
      <c r="B26" s="11" t="s">
        <v>27</v>
      </c>
      <c r="C26" s="10">
        <v>45575</v>
      </c>
      <c r="D26" s="11" t="s">
        <v>48</v>
      </c>
      <c r="E26" s="9" t="s">
        <v>347</v>
      </c>
      <c r="F26" s="12">
        <v>4013</v>
      </c>
      <c r="G26" s="12">
        <v>320</v>
      </c>
      <c r="H26" s="12">
        <v>92</v>
      </c>
      <c r="I26" s="12">
        <v>54605</v>
      </c>
      <c r="J26" s="4">
        <f t="shared" si="0"/>
        <v>4425</v>
      </c>
      <c r="K26" s="12">
        <v>60169</v>
      </c>
      <c r="L26" s="12">
        <v>232</v>
      </c>
      <c r="M26" s="9" t="s">
        <v>19</v>
      </c>
      <c r="N26" s="9" t="s">
        <v>37</v>
      </c>
      <c r="O26" s="9" t="s">
        <v>49</v>
      </c>
      <c r="P26" s="89">
        <f>IFERROR(VLOOKUP(O26,'[1]Campaign Metadata'!A:C,2,FALSE),"")</f>
        <v>45458</v>
      </c>
      <c r="Q26" s="90">
        <f>IFERROR(VLOOKUP(O26,'[1]Campaign Metadata'!A:C,3,FALSE),"")</f>
        <v>45488</v>
      </c>
      <c r="R26" s="94" t="str">
        <f t="shared" si="1"/>
        <v>After</v>
      </c>
    </row>
    <row r="27" spans="1:18" ht="15.75" customHeight="1" thickTop="1" thickBot="1">
      <c r="A27" s="22" t="s">
        <v>56</v>
      </c>
      <c r="B27" s="7" t="s">
        <v>22</v>
      </c>
      <c r="C27" s="6">
        <v>45791</v>
      </c>
      <c r="D27" s="7" t="s">
        <v>23</v>
      </c>
      <c r="E27" s="5" t="s">
        <v>347</v>
      </c>
      <c r="F27" s="8">
        <v>2707</v>
      </c>
      <c r="G27" s="8">
        <v>103</v>
      </c>
      <c r="H27" s="8">
        <v>51</v>
      </c>
      <c r="I27" s="8">
        <v>55302</v>
      </c>
      <c r="J27" s="4">
        <f t="shared" si="0"/>
        <v>2861</v>
      </c>
      <c r="K27" s="8">
        <v>18801</v>
      </c>
      <c r="L27" s="8">
        <v>147</v>
      </c>
      <c r="M27" s="5" t="s">
        <v>19</v>
      </c>
      <c r="N27" s="5" t="s">
        <v>341</v>
      </c>
      <c r="O27" s="5" t="s">
        <v>16</v>
      </c>
      <c r="P27" s="89">
        <f>IFERROR(VLOOKUP(O27,'[1]Campaign Metadata'!A:C,2,FALSE),"")</f>
        <v>45667</v>
      </c>
      <c r="Q27" s="90">
        <f>IFERROR(VLOOKUP(O27,'[1]Campaign Metadata'!A:C,3,FALSE),"")</f>
        <v>45698</v>
      </c>
      <c r="R27" s="94" t="str">
        <f t="shared" si="1"/>
        <v>After</v>
      </c>
    </row>
    <row r="28" spans="1:18" ht="15.75" customHeight="1" thickTop="1" thickBot="1">
      <c r="A28" s="23" t="s">
        <v>57</v>
      </c>
      <c r="B28" s="11" t="s">
        <v>13</v>
      </c>
      <c r="C28" s="10">
        <v>45625</v>
      </c>
      <c r="D28" s="11" t="s">
        <v>14</v>
      </c>
      <c r="E28" s="9" t="s">
        <v>346</v>
      </c>
      <c r="F28" s="12">
        <v>2824</v>
      </c>
      <c r="G28" s="12">
        <v>425</v>
      </c>
      <c r="H28" s="12">
        <v>274</v>
      </c>
      <c r="I28" s="12">
        <v>31004</v>
      </c>
      <c r="J28" s="4">
        <f t="shared" si="0"/>
        <v>3523</v>
      </c>
      <c r="K28" s="12">
        <v>53488</v>
      </c>
      <c r="L28" s="12">
        <v>268</v>
      </c>
      <c r="M28" s="9" t="s">
        <v>37</v>
      </c>
      <c r="N28" s="9" t="s">
        <v>34</v>
      </c>
      <c r="O28" s="9" t="s">
        <v>16</v>
      </c>
      <c r="P28" s="89">
        <f>IFERROR(VLOOKUP(O28,'[1]Campaign Metadata'!A:C,2,FALSE),"")</f>
        <v>45667</v>
      </c>
      <c r="Q28" s="90">
        <f>IFERROR(VLOOKUP(O28,'[1]Campaign Metadata'!A:C,3,FALSE),"")</f>
        <v>45698</v>
      </c>
      <c r="R28" s="94" t="str">
        <f t="shared" si="1"/>
        <v>Before</v>
      </c>
    </row>
    <row r="29" spans="1:18" ht="15.75" customHeight="1" thickTop="1" thickBot="1">
      <c r="A29" s="22" t="s">
        <v>58</v>
      </c>
      <c r="B29" s="7" t="s">
        <v>27</v>
      </c>
      <c r="C29" s="6">
        <v>45356</v>
      </c>
      <c r="D29" s="7" t="s">
        <v>48</v>
      </c>
      <c r="E29" s="5" t="s">
        <v>18</v>
      </c>
      <c r="F29" s="8">
        <v>3558</v>
      </c>
      <c r="G29" s="8">
        <v>314</v>
      </c>
      <c r="H29" s="8">
        <v>199</v>
      </c>
      <c r="I29" s="8">
        <v>49612</v>
      </c>
      <c r="J29" s="4">
        <f t="shared" si="0"/>
        <v>4071</v>
      </c>
      <c r="K29" s="8">
        <v>53929</v>
      </c>
      <c r="L29" s="8">
        <v>206</v>
      </c>
      <c r="M29" s="5" t="s">
        <v>19</v>
      </c>
      <c r="N29" s="5" t="s">
        <v>37</v>
      </c>
      <c r="O29" s="5" t="s">
        <v>49</v>
      </c>
      <c r="P29" s="89">
        <f>IFERROR(VLOOKUP(O29,'[1]Campaign Metadata'!A:C,2,FALSE),"")</f>
        <v>45458</v>
      </c>
      <c r="Q29" s="90">
        <f>IFERROR(VLOOKUP(O29,'[1]Campaign Metadata'!A:C,3,FALSE),"")</f>
        <v>45488</v>
      </c>
      <c r="R29" s="94" t="str">
        <f t="shared" si="1"/>
        <v>Before</v>
      </c>
    </row>
    <row r="30" spans="1:18" ht="15.75" customHeight="1" thickTop="1" thickBot="1">
      <c r="A30" s="23" t="s">
        <v>59</v>
      </c>
      <c r="B30" s="11" t="s">
        <v>22</v>
      </c>
      <c r="C30" s="10">
        <v>45734</v>
      </c>
      <c r="D30" s="11" t="s">
        <v>23</v>
      </c>
      <c r="E30" s="9" t="s">
        <v>18</v>
      </c>
      <c r="F30" s="12">
        <v>3418</v>
      </c>
      <c r="G30" s="12">
        <v>188</v>
      </c>
      <c r="H30" s="12">
        <v>387</v>
      </c>
      <c r="I30" s="12">
        <v>57431</v>
      </c>
      <c r="J30" s="4">
        <f t="shared" si="0"/>
        <v>3993</v>
      </c>
      <c r="K30" s="12">
        <v>36933</v>
      </c>
      <c r="L30" s="12">
        <v>202</v>
      </c>
      <c r="M30" s="9" t="s">
        <v>341</v>
      </c>
      <c r="N30" s="9" t="s">
        <v>34</v>
      </c>
      <c r="O30" s="9" t="s">
        <v>16</v>
      </c>
      <c r="P30" s="89">
        <f>IFERROR(VLOOKUP(O30,'[1]Campaign Metadata'!A:C,2,FALSE),"")</f>
        <v>45667</v>
      </c>
      <c r="Q30" s="90">
        <f>IFERROR(VLOOKUP(O30,'[1]Campaign Metadata'!A:C,3,FALSE),"")</f>
        <v>45698</v>
      </c>
      <c r="R30" s="94" t="str">
        <f t="shared" si="1"/>
        <v>After</v>
      </c>
    </row>
    <row r="31" spans="1:18" ht="15.75" customHeight="1" thickTop="1" thickBot="1">
      <c r="A31" s="22" t="s">
        <v>60</v>
      </c>
      <c r="B31" s="7" t="s">
        <v>22</v>
      </c>
      <c r="C31" s="6">
        <v>45773</v>
      </c>
      <c r="D31" s="7" t="s">
        <v>14</v>
      </c>
      <c r="E31" s="5" t="s">
        <v>15</v>
      </c>
      <c r="F31" s="8">
        <v>2411</v>
      </c>
      <c r="G31" s="8">
        <v>194</v>
      </c>
      <c r="H31" s="8">
        <v>168</v>
      </c>
      <c r="I31" s="8">
        <v>26665</v>
      </c>
      <c r="J31" s="4">
        <f t="shared" si="0"/>
        <v>2773</v>
      </c>
      <c r="K31" s="8">
        <v>71699</v>
      </c>
      <c r="L31" s="8">
        <v>197</v>
      </c>
      <c r="M31" s="5" t="s">
        <v>34</v>
      </c>
      <c r="N31" s="5"/>
      <c r="O31" s="5" t="s">
        <v>16</v>
      </c>
      <c r="P31" s="89">
        <f>IFERROR(VLOOKUP(O31,'[1]Campaign Metadata'!A:C,2,FALSE),"")</f>
        <v>45667</v>
      </c>
      <c r="Q31" s="90">
        <f>IFERROR(VLOOKUP(O31,'[1]Campaign Metadata'!A:C,3,FALSE),"")</f>
        <v>45698</v>
      </c>
      <c r="R31" s="94" t="str">
        <f t="shared" si="1"/>
        <v>After</v>
      </c>
    </row>
    <row r="32" spans="1:18" ht="15.75" customHeight="1" thickTop="1" thickBot="1">
      <c r="A32" s="23" t="s">
        <v>61</v>
      </c>
      <c r="B32" s="11" t="s">
        <v>13</v>
      </c>
      <c r="C32" s="10">
        <v>45658</v>
      </c>
      <c r="D32" s="11" t="s">
        <v>14</v>
      </c>
      <c r="E32" s="9" t="s">
        <v>24</v>
      </c>
      <c r="F32" s="12">
        <v>4036</v>
      </c>
      <c r="G32" s="12">
        <v>112</v>
      </c>
      <c r="H32" s="12">
        <v>382</v>
      </c>
      <c r="I32" s="12">
        <v>56284</v>
      </c>
      <c r="J32" s="4">
        <f t="shared" si="0"/>
        <v>4530</v>
      </c>
      <c r="K32" s="12">
        <v>29440</v>
      </c>
      <c r="L32" s="12">
        <v>279</v>
      </c>
      <c r="M32" s="9" t="s">
        <v>37</v>
      </c>
      <c r="N32" s="9" t="s">
        <v>34</v>
      </c>
      <c r="O32" s="9" t="s">
        <v>16</v>
      </c>
      <c r="P32" s="89">
        <f>IFERROR(VLOOKUP(O32,'[1]Campaign Metadata'!A:C,2,FALSE),"")</f>
        <v>45667</v>
      </c>
      <c r="Q32" s="90">
        <f>IFERROR(VLOOKUP(O32,'[1]Campaign Metadata'!A:C,3,FALSE),"")</f>
        <v>45698</v>
      </c>
      <c r="R32" s="94" t="str">
        <f t="shared" si="1"/>
        <v>Before</v>
      </c>
    </row>
    <row r="33" spans="1:18" ht="15.75" customHeight="1" thickTop="1" thickBot="1">
      <c r="A33" s="22" t="s">
        <v>62</v>
      </c>
      <c r="B33" s="7" t="s">
        <v>22</v>
      </c>
      <c r="C33" s="6">
        <v>45419</v>
      </c>
      <c r="D33" s="7" t="s">
        <v>23</v>
      </c>
      <c r="E33" s="5" t="s">
        <v>18</v>
      </c>
      <c r="F33" s="8">
        <v>2776</v>
      </c>
      <c r="G33" s="8">
        <v>307</v>
      </c>
      <c r="H33" s="8">
        <v>178</v>
      </c>
      <c r="I33" s="8">
        <v>43365</v>
      </c>
      <c r="J33" s="4">
        <f t="shared" si="0"/>
        <v>3261</v>
      </c>
      <c r="K33" s="8">
        <v>48408</v>
      </c>
      <c r="L33" s="8">
        <v>138</v>
      </c>
      <c r="M33" s="5" t="s">
        <v>37</v>
      </c>
      <c r="N33" s="5" t="s">
        <v>34</v>
      </c>
      <c r="O33" s="5" t="s">
        <v>16</v>
      </c>
      <c r="P33" s="89">
        <f>IFERROR(VLOOKUP(O33,'[1]Campaign Metadata'!A:C,2,FALSE),"")</f>
        <v>45667</v>
      </c>
      <c r="Q33" s="90">
        <f>IFERROR(VLOOKUP(O33,'[1]Campaign Metadata'!A:C,3,FALSE),"")</f>
        <v>45698</v>
      </c>
      <c r="R33" s="94" t="str">
        <f t="shared" si="1"/>
        <v>Before</v>
      </c>
    </row>
    <row r="34" spans="1:18" ht="15.75" customHeight="1" thickTop="1" thickBot="1">
      <c r="A34" s="23" t="s">
        <v>63</v>
      </c>
      <c r="B34" s="11" t="s">
        <v>22</v>
      </c>
      <c r="C34" s="10">
        <v>45574</v>
      </c>
      <c r="D34" s="11" t="s">
        <v>23</v>
      </c>
      <c r="E34" s="9" t="s">
        <v>15</v>
      </c>
      <c r="F34" s="12">
        <v>4929</v>
      </c>
      <c r="G34" s="12">
        <v>182</v>
      </c>
      <c r="H34" s="12">
        <v>95</v>
      </c>
      <c r="I34" s="12">
        <v>32181</v>
      </c>
      <c r="J34" s="4">
        <f t="shared" si="0"/>
        <v>5206</v>
      </c>
      <c r="K34" s="12">
        <v>31084</v>
      </c>
      <c r="L34" s="12">
        <v>289</v>
      </c>
      <c r="M34" s="9" t="s">
        <v>19</v>
      </c>
      <c r="N34" s="9" t="s">
        <v>341</v>
      </c>
      <c r="O34" s="9" t="s">
        <v>16</v>
      </c>
      <c r="P34" s="89">
        <f>IFERROR(VLOOKUP(O34,'[1]Campaign Metadata'!A:C,2,FALSE),"")</f>
        <v>45667</v>
      </c>
      <c r="Q34" s="90">
        <f>IFERROR(VLOOKUP(O34,'[1]Campaign Metadata'!A:C,3,FALSE),"")</f>
        <v>45698</v>
      </c>
      <c r="R34" s="94" t="str">
        <f t="shared" si="1"/>
        <v>Before</v>
      </c>
    </row>
    <row r="35" spans="1:18" ht="15.75" customHeight="1" thickTop="1" thickBot="1">
      <c r="A35" s="22" t="s">
        <v>64</v>
      </c>
      <c r="B35" s="7" t="s">
        <v>13</v>
      </c>
      <c r="C35" s="6">
        <v>45666</v>
      </c>
      <c r="D35" s="7" t="s">
        <v>14</v>
      </c>
      <c r="E35" s="5" t="s">
        <v>24</v>
      </c>
      <c r="F35" s="8">
        <v>1015</v>
      </c>
      <c r="G35" s="8">
        <v>366</v>
      </c>
      <c r="H35" s="8">
        <v>308</v>
      </c>
      <c r="I35" s="8">
        <v>38127</v>
      </c>
      <c r="J35" s="4">
        <f t="shared" si="0"/>
        <v>1689</v>
      </c>
      <c r="K35" s="8">
        <v>63790</v>
      </c>
      <c r="L35" s="8">
        <v>287</v>
      </c>
      <c r="M35" s="5" t="s">
        <v>37</v>
      </c>
      <c r="N35" s="5" t="s">
        <v>34</v>
      </c>
      <c r="O35" s="5" t="s">
        <v>16</v>
      </c>
      <c r="P35" s="89">
        <f>IFERROR(VLOOKUP(O35,'[1]Campaign Metadata'!A:C,2,FALSE),"")</f>
        <v>45667</v>
      </c>
      <c r="Q35" s="90">
        <f>IFERROR(VLOOKUP(O35,'[1]Campaign Metadata'!A:C,3,FALSE),"")</f>
        <v>45698</v>
      </c>
      <c r="R35" s="94" t="str">
        <f t="shared" si="1"/>
        <v>Before</v>
      </c>
    </row>
    <row r="36" spans="1:18" ht="15.75" customHeight="1" thickTop="1" thickBot="1">
      <c r="A36" s="23" t="s">
        <v>65</v>
      </c>
      <c r="B36" s="11" t="s">
        <v>22</v>
      </c>
      <c r="C36" s="10">
        <v>45785</v>
      </c>
      <c r="D36" s="11" t="s">
        <v>23</v>
      </c>
      <c r="E36" s="9" t="s">
        <v>42</v>
      </c>
      <c r="F36" s="12">
        <v>3316</v>
      </c>
      <c r="G36" s="12">
        <v>332</v>
      </c>
      <c r="H36" s="12">
        <v>268</v>
      </c>
      <c r="I36" s="12">
        <v>40095</v>
      </c>
      <c r="J36" s="4">
        <f t="shared" si="0"/>
        <v>3916</v>
      </c>
      <c r="K36" s="12">
        <v>36913</v>
      </c>
      <c r="L36" s="12">
        <v>265</v>
      </c>
      <c r="M36" s="9" t="s">
        <v>341</v>
      </c>
      <c r="N36" s="9" t="s">
        <v>34</v>
      </c>
      <c r="O36" s="9" t="s">
        <v>16</v>
      </c>
      <c r="P36" s="89">
        <f>IFERROR(VLOOKUP(O36,'[1]Campaign Metadata'!A:C,2,FALSE),"")</f>
        <v>45667</v>
      </c>
      <c r="Q36" s="90">
        <f>IFERROR(VLOOKUP(O36,'[1]Campaign Metadata'!A:C,3,FALSE),"")</f>
        <v>45698</v>
      </c>
      <c r="R36" s="94" t="str">
        <f t="shared" si="1"/>
        <v>After</v>
      </c>
    </row>
    <row r="37" spans="1:18" ht="15.75" customHeight="1" thickTop="1" thickBot="1">
      <c r="A37" s="22" t="s">
        <v>66</v>
      </c>
      <c r="B37" s="7" t="s">
        <v>13</v>
      </c>
      <c r="C37" s="6">
        <v>45416</v>
      </c>
      <c r="D37" s="7" t="s">
        <v>14</v>
      </c>
      <c r="E37" s="5" t="s">
        <v>344</v>
      </c>
      <c r="F37" s="8">
        <v>2274</v>
      </c>
      <c r="G37" s="8">
        <v>243</v>
      </c>
      <c r="H37" s="8">
        <v>222</v>
      </c>
      <c r="I37" s="8">
        <v>43066</v>
      </c>
      <c r="J37" s="4">
        <f t="shared" si="0"/>
        <v>2739</v>
      </c>
      <c r="K37" s="8">
        <v>59174</v>
      </c>
      <c r="L37" s="8">
        <v>80</v>
      </c>
      <c r="M37" s="5" t="s">
        <v>19</v>
      </c>
      <c r="N37" s="5"/>
      <c r="O37" s="5" t="s">
        <v>20</v>
      </c>
      <c r="P37" s="89">
        <f>IFERROR(VLOOKUP(O37,'[1]Campaign Metadata'!A:C,2,FALSE),"")</f>
        <v>45717</v>
      </c>
      <c r="Q37" s="90">
        <f>IFERROR(VLOOKUP(O37,'[1]Campaign Metadata'!A:C,3,FALSE),"")</f>
        <v>45747</v>
      </c>
      <c r="R37" s="94" t="str">
        <f t="shared" si="1"/>
        <v>Before</v>
      </c>
    </row>
    <row r="38" spans="1:18" ht="15.75" customHeight="1" thickTop="1" thickBot="1">
      <c r="A38" s="23" t="s">
        <v>67</v>
      </c>
      <c r="B38" s="11" t="s">
        <v>22</v>
      </c>
      <c r="C38" s="10">
        <v>45804</v>
      </c>
      <c r="D38" s="11" t="s">
        <v>23</v>
      </c>
      <c r="E38" s="9" t="s">
        <v>18</v>
      </c>
      <c r="F38" s="12">
        <v>4095</v>
      </c>
      <c r="G38" s="12">
        <v>385</v>
      </c>
      <c r="H38" s="12">
        <v>400</v>
      </c>
      <c r="I38" s="12">
        <v>45300</v>
      </c>
      <c r="J38" s="4">
        <f t="shared" si="0"/>
        <v>4880</v>
      </c>
      <c r="K38" s="12">
        <v>31795</v>
      </c>
      <c r="L38" s="12">
        <v>80</v>
      </c>
      <c r="M38" s="9" t="s">
        <v>341</v>
      </c>
      <c r="N38" s="9" t="s">
        <v>34</v>
      </c>
      <c r="O38" s="9" t="s">
        <v>16</v>
      </c>
      <c r="P38" s="89">
        <f>IFERROR(VLOOKUP(O38,'[1]Campaign Metadata'!A:C,2,FALSE),"")</f>
        <v>45667</v>
      </c>
      <c r="Q38" s="90">
        <f>IFERROR(VLOOKUP(O38,'[1]Campaign Metadata'!A:C,3,FALSE),"")</f>
        <v>45698</v>
      </c>
      <c r="R38" s="94" t="str">
        <f t="shared" si="1"/>
        <v>After</v>
      </c>
    </row>
    <row r="39" spans="1:18" ht="15.75" customHeight="1" thickTop="1" thickBot="1">
      <c r="A39" s="22" t="s">
        <v>68</v>
      </c>
      <c r="B39" s="7" t="s">
        <v>13</v>
      </c>
      <c r="C39" s="6">
        <v>45545</v>
      </c>
      <c r="D39" s="7" t="s">
        <v>23</v>
      </c>
      <c r="E39" s="5" t="s">
        <v>24</v>
      </c>
      <c r="F39" s="8">
        <v>1230</v>
      </c>
      <c r="G39" s="8">
        <v>309</v>
      </c>
      <c r="H39" s="8">
        <v>207</v>
      </c>
      <c r="I39" s="8">
        <v>44629</v>
      </c>
      <c r="J39" s="4">
        <f t="shared" si="0"/>
        <v>1746</v>
      </c>
      <c r="K39" s="8">
        <v>40699</v>
      </c>
      <c r="L39" s="8">
        <v>195</v>
      </c>
      <c r="M39" s="5" t="s">
        <v>34</v>
      </c>
      <c r="N39" s="5"/>
      <c r="O39" s="5" t="s">
        <v>46</v>
      </c>
      <c r="P39" s="89">
        <f>IFERROR(VLOOKUP(O39,'[1]Campaign Metadata'!A:C,2,FALSE),"")</f>
        <v>45627</v>
      </c>
      <c r="Q39" s="90">
        <f>IFERROR(VLOOKUP(O39,'[1]Campaign Metadata'!A:C,3,FALSE),"")</f>
        <v>45657</v>
      </c>
      <c r="R39" s="94" t="str">
        <f t="shared" si="1"/>
        <v>Before</v>
      </c>
    </row>
    <row r="40" spans="1:18" ht="15.75" customHeight="1" thickTop="1" thickBot="1">
      <c r="A40" s="23" t="s">
        <v>69</v>
      </c>
      <c r="B40" s="11" t="s">
        <v>13</v>
      </c>
      <c r="C40" s="10">
        <v>45621</v>
      </c>
      <c r="D40" s="11" t="s">
        <v>14</v>
      </c>
      <c r="E40" s="9" t="s">
        <v>347</v>
      </c>
      <c r="F40" s="12">
        <v>1341</v>
      </c>
      <c r="G40" s="12">
        <v>472</v>
      </c>
      <c r="H40" s="12">
        <v>238</v>
      </c>
      <c r="I40" s="12">
        <v>51386</v>
      </c>
      <c r="J40" s="4">
        <f t="shared" si="0"/>
        <v>2051</v>
      </c>
      <c r="K40" s="12">
        <v>51706</v>
      </c>
      <c r="L40" s="12">
        <v>133</v>
      </c>
      <c r="M40" s="9" t="s">
        <v>19</v>
      </c>
      <c r="N40" s="9"/>
      <c r="O40" s="9" t="s">
        <v>20</v>
      </c>
      <c r="P40" s="89">
        <f>IFERROR(VLOOKUP(O40,'[1]Campaign Metadata'!A:C,2,FALSE),"")</f>
        <v>45717</v>
      </c>
      <c r="Q40" s="90">
        <f>IFERROR(VLOOKUP(O40,'[1]Campaign Metadata'!A:C,3,FALSE),"")</f>
        <v>45747</v>
      </c>
      <c r="R40" s="94" t="str">
        <f t="shared" si="1"/>
        <v>Before</v>
      </c>
    </row>
    <row r="41" spans="1:18" ht="15.75" customHeight="1" thickTop="1" thickBot="1">
      <c r="A41" s="22" t="s">
        <v>70</v>
      </c>
      <c r="B41" s="7" t="s">
        <v>22</v>
      </c>
      <c r="C41" s="6">
        <v>45818</v>
      </c>
      <c r="D41" s="7" t="s">
        <v>14</v>
      </c>
      <c r="E41" s="5" t="s">
        <v>18</v>
      </c>
      <c r="F41" s="8">
        <v>3615</v>
      </c>
      <c r="G41" s="8">
        <v>192</v>
      </c>
      <c r="H41" s="8">
        <v>162</v>
      </c>
      <c r="I41" s="8">
        <v>27492</v>
      </c>
      <c r="J41" s="4">
        <f t="shared" si="0"/>
        <v>3969</v>
      </c>
      <c r="K41" s="8">
        <v>35341</v>
      </c>
      <c r="L41" s="8">
        <v>125</v>
      </c>
      <c r="M41" s="5" t="s">
        <v>34</v>
      </c>
      <c r="N41" s="5"/>
      <c r="O41" s="5" t="s">
        <v>16</v>
      </c>
      <c r="P41" s="89">
        <f>IFERROR(VLOOKUP(O41,'[1]Campaign Metadata'!A:C,2,FALSE),"")</f>
        <v>45667</v>
      </c>
      <c r="Q41" s="90">
        <f>IFERROR(VLOOKUP(O41,'[1]Campaign Metadata'!A:C,3,FALSE),"")</f>
        <v>45698</v>
      </c>
      <c r="R41" s="94" t="str">
        <f t="shared" si="1"/>
        <v>After</v>
      </c>
    </row>
    <row r="42" spans="1:18" ht="15.75" customHeight="1" thickTop="1" thickBot="1">
      <c r="A42" s="23" t="s">
        <v>71</v>
      </c>
      <c r="B42" s="11" t="s">
        <v>13</v>
      </c>
      <c r="C42" s="10">
        <v>45401</v>
      </c>
      <c r="D42" s="11" t="s">
        <v>14</v>
      </c>
      <c r="E42" s="9" t="s">
        <v>24</v>
      </c>
      <c r="F42" s="12">
        <v>4001</v>
      </c>
      <c r="G42" s="12">
        <v>353</v>
      </c>
      <c r="H42" s="12">
        <v>129</v>
      </c>
      <c r="I42" s="12">
        <v>41265</v>
      </c>
      <c r="J42" s="4">
        <f t="shared" si="0"/>
        <v>4483</v>
      </c>
      <c r="K42" s="12">
        <v>37279</v>
      </c>
      <c r="L42" s="12">
        <v>275</v>
      </c>
      <c r="M42" s="9" t="s">
        <v>37</v>
      </c>
      <c r="N42" s="9" t="s">
        <v>34</v>
      </c>
      <c r="O42" s="9" t="s">
        <v>16</v>
      </c>
      <c r="P42" s="89">
        <f>IFERROR(VLOOKUP(O42,'[1]Campaign Metadata'!A:C,2,FALSE),"")</f>
        <v>45667</v>
      </c>
      <c r="Q42" s="90">
        <f>IFERROR(VLOOKUP(O42,'[1]Campaign Metadata'!A:C,3,FALSE),"")</f>
        <v>45698</v>
      </c>
      <c r="R42" s="94" t="str">
        <f t="shared" si="1"/>
        <v>Before</v>
      </c>
    </row>
    <row r="43" spans="1:18" ht="15.75" customHeight="1" thickTop="1" thickBot="1">
      <c r="A43" s="22" t="s">
        <v>72</v>
      </c>
      <c r="B43" s="7" t="s">
        <v>13</v>
      </c>
      <c r="C43" s="6">
        <v>45683</v>
      </c>
      <c r="D43" s="7" t="s">
        <v>23</v>
      </c>
      <c r="E43" s="5" t="s">
        <v>346</v>
      </c>
      <c r="F43" s="8">
        <v>3451</v>
      </c>
      <c r="G43" s="8">
        <v>363</v>
      </c>
      <c r="H43" s="8">
        <v>393</v>
      </c>
      <c r="I43" s="8">
        <v>44853</v>
      </c>
      <c r="J43" s="4">
        <f t="shared" si="0"/>
        <v>4207</v>
      </c>
      <c r="K43" s="8">
        <v>69032</v>
      </c>
      <c r="L43" s="8">
        <v>211</v>
      </c>
      <c r="M43" s="5" t="s">
        <v>34</v>
      </c>
      <c r="N43" s="5"/>
      <c r="O43" s="5" t="s">
        <v>46</v>
      </c>
      <c r="P43" s="89">
        <f>IFERROR(VLOOKUP(O43,'[1]Campaign Metadata'!A:C,2,FALSE),"")</f>
        <v>45627</v>
      </c>
      <c r="Q43" s="90">
        <f>IFERROR(VLOOKUP(O43,'[1]Campaign Metadata'!A:C,3,FALSE),"")</f>
        <v>45657</v>
      </c>
      <c r="R43" s="94" t="str">
        <f t="shared" si="1"/>
        <v>After</v>
      </c>
    </row>
    <row r="44" spans="1:18" ht="15.75" customHeight="1" thickTop="1" thickBot="1">
      <c r="A44" s="23" t="s">
        <v>73</v>
      </c>
      <c r="B44" s="11" t="s">
        <v>13</v>
      </c>
      <c r="C44" s="10">
        <v>45702</v>
      </c>
      <c r="D44" s="11" t="s">
        <v>14</v>
      </c>
      <c r="E44" s="9" t="s">
        <v>33</v>
      </c>
      <c r="F44" s="12">
        <v>4891</v>
      </c>
      <c r="G44" s="12">
        <v>450</v>
      </c>
      <c r="H44" s="12">
        <v>387</v>
      </c>
      <c r="I44" s="12">
        <v>48746</v>
      </c>
      <c r="J44" s="4">
        <f t="shared" si="0"/>
        <v>5728</v>
      </c>
      <c r="K44" s="12">
        <v>37312</v>
      </c>
      <c r="L44" s="12">
        <v>154</v>
      </c>
      <c r="M44" s="9" t="s">
        <v>37</v>
      </c>
      <c r="N44" s="9" t="s">
        <v>34</v>
      </c>
      <c r="O44" s="9" t="s">
        <v>16</v>
      </c>
      <c r="P44" s="89">
        <f>IFERROR(VLOOKUP(O44,'[1]Campaign Metadata'!A:C,2,FALSE),"")</f>
        <v>45667</v>
      </c>
      <c r="Q44" s="90">
        <f>IFERROR(VLOOKUP(O44,'[1]Campaign Metadata'!A:C,3,FALSE),"")</f>
        <v>45698</v>
      </c>
      <c r="R44" s="94" t="str">
        <f t="shared" si="1"/>
        <v>After</v>
      </c>
    </row>
    <row r="45" spans="1:18" ht="15.75" customHeight="1" thickTop="1" thickBot="1">
      <c r="A45" s="22" t="s">
        <v>74</v>
      </c>
      <c r="B45" s="7" t="s">
        <v>13</v>
      </c>
      <c r="C45" s="6">
        <v>45541</v>
      </c>
      <c r="D45" s="7" t="s">
        <v>14</v>
      </c>
      <c r="E45" s="5" t="s">
        <v>24</v>
      </c>
      <c r="F45" s="8">
        <v>1452</v>
      </c>
      <c r="G45" s="8">
        <v>281</v>
      </c>
      <c r="H45" s="8">
        <v>326</v>
      </c>
      <c r="I45" s="8">
        <v>51556</v>
      </c>
      <c r="J45" s="4">
        <f t="shared" si="0"/>
        <v>2059</v>
      </c>
      <c r="K45" s="8">
        <v>62599</v>
      </c>
      <c r="L45" s="8">
        <v>290</v>
      </c>
      <c r="M45" s="5" t="s">
        <v>19</v>
      </c>
      <c r="N45" s="5"/>
      <c r="O45" s="5" t="s">
        <v>20</v>
      </c>
      <c r="P45" s="89">
        <f>IFERROR(VLOOKUP(O45,'[1]Campaign Metadata'!A:C,2,FALSE),"")</f>
        <v>45717</v>
      </c>
      <c r="Q45" s="90">
        <f>IFERROR(VLOOKUP(O45,'[1]Campaign Metadata'!A:C,3,FALSE),"")</f>
        <v>45747</v>
      </c>
      <c r="R45" s="94" t="str">
        <f t="shared" si="1"/>
        <v>Before</v>
      </c>
    </row>
    <row r="46" spans="1:18" ht="15.75" customHeight="1" thickTop="1" thickBot="1">
      <c r="A46" s="23" t="s">
        <v>75</v>
      </c>
      <c r="B46" s="11" t="s">
        <v>27</v>
      </c>
      <c r="C46" s="10">
        <v>45487</v>
      </c>
      <c r="D46" s="11" t="s">
        <v>14</v>
      </c>
      <c r="E46" s="9" t="s">
        <v>42</v>
      </c>
      <c r="F46" s="12">
        <v>3806</v>
      </c>
      <c r="G46" s="12">
        <v>114</v>
      </c>
      <c r="H46" s="12">
        <v>278</v>
      </c>
      <c r="I46" s="12">
        <v>36148</v>
      </c>
      <c r="J46" s="4">
        <f t="shared" si="0"/>
        <v>4198</v>
      </c>
      <c r="K46" s="12">
        <v>24209</v>
      </c>
      <c r="L46" s="12">
        <v>201</v>
      </c>
      <c r="M46" s="9" t="s">
        <v>19</v>
      </c>
      <c r="N46" s="9" t="s">
        <v>340</v>
      </c>
      <c r="O46" s="9" t="s">
        <v>20</v>
      </c>
      <c r="P46" s="89">
        <f>IFERROR(VLOOKUP(O46,'[1]Campaign Metadata'!A:C,2,FALSE),"")</f>
        <v>45717</v>
      </c>
      <c r="Q46" s="90">
        <f>IFERROR(VLOOKUP(O46,'[1]Campaign Metadata'!A:C,3,FALSE),"")</f>
        <v>45747</v>
      </c>
      <c r="R46" s="94" t="str">
        <f t="shared" si="1"/>
        <v>Before</v>
      </c>
    </row>
    <row r="47" spans="1:18" ht="15.75" customHeight="1" thickTop="1" thickBot="1">
      <c r="A47" s="22" t="s">
        <v>76</v>
      </c>
      <c r="B47" s="7" t="s">
        <v>13</v>
      </c>
      <c r="C47" s="6">
        <v>45334</v>
      </c>
      <c r="D47" s="7" t="s">
        <v>14</v>
      </c>
      <c r="E47" s="5" t="s">
        <v>18</v>
      </c>
      <c r="F47" s="8">
        <v>2923</v>
      </c>
      <c r="G47" s="8">
        <v>330</v>
      </c>
      <c r="H47" s="8">
        <v>250</v>
      </c>
      <c r="I47" s="8">
        <v>23993</v>
      </c>
      <c r="J47" s="4">
        <f t="shared" si="0"/>
        <v>3503</v>
      </c>
      <c r="K47" s="8">
        <v>74590</v>
      </c>
      <c r="L47" s="8">
        <v>92</v>
      </c>
      <c r="M47" s="5" t="s">
        <v>19</v>
      </c>
      <c r="N47" s="5"/>
      <c r="O47" s="5" t="s">
        <v>20</v>
      </c>
      <c r="P47" s="89">
        <f>IFERROR(VLOOKUP(O47,'[1]Campaign Metadata'!A:C,2,FALSE),"")</f>
        <v>45717</v>
      </c>
      <c r="Q47" s="90">
        <f>IFERROR(VLOOKUP(O47,'[1]Campaign Metadata'!A:C,3,FALSE),"")</f>
        <v>45747</v>
      </c>
      <c r="R47" s="94" t="str">
        <f t="shared" si="1"/>
        <v>Before</v>
      </c>
    </row>
    <row r="48" spans="1:18" ht="15.75" customHeight="1" thickTop="1" thickBot="1">
      <c r="A48" s="23" t="s">
        <v>77</v>
      </c>
      <c r="B48" s="11" t="s">
        <v>27</v>
      </c>
      <c r="C48" s="10">
        <v>45365</v>
      </c>
      <c r="D48" s="11" t="s">
        <v>48</v>
      </c>
      <c r="E48" s="9" t="s">
        <v>347</v>
      </c>
      <c r="F48" s="12">
        <v>3361</v>
      </c>
      <c r="G48" s="12">
        <v>188</v>
      </c>
      <c r="H48" s="12">
        <v>358</v>
      </c>
      <c r="I48" s="12">
        <v>39838</v>
      </c>
      <c r="J48" s="4">
        <f t="shared" si="0"/>
        <v>3907</v>
      </c>
      <c r="K48" s="12">
        <v>24536</v>
      </c>
      <c r="L48" s="12">
        <v>120</v>
      </c>
      <c r="M48" s="9" t="s">
        <v>19</v>
      </c>
      <c r="N48" s="9" t="s">
        <v>37</v>
      </c>
      <c r="O48" s="9" t="s">
        <v>49</v>
      </c>
      <c r="P48" s="89">
        <f>IFERROR(VLOOKUP(O48,'[1]Campaign Metadata'!A:C,2,FALSE),"")</f>
        <v>45458</v>
      </c>
      <c r="Q48" s="90">
        <f>IFERROR(VLOOKUP(O48,'[1]Campaign Metadata'!A:C,3,FALSE),"")</f>
        <v>45488</v>
      </c>
      <c r="R48" s="94" t="str">
        <f t="shared" si="1"/>
        <v>Before</v>
      </c>
    </row>
    <row r="49" spans="1:18" ht="15.75" customHeight="1" thickTop="1" thickBot="1">
      <c r="A49" s="22" t="s">
        <v>78</v>
      </c>
      <c r="B49" s="7" t="s">
        <v>13</v>
      </c>
      <c r="C49" s="6">
        <v>45693</v>
      </c>
      <c r="D49" s="7" t="s">
        <v>23</v>
      </c>
      <c r="E49" s="5" t="s">
        <v>345</v>
      </c>
      <c r="F49" s="8">
        <v>3074</v>
      </c>
      <c r="G49" s="8">
        <v>371</v>
      </c>
      <c r="H49" s="8">
        <v>348</v>
      </c>
      <c r="I49" s="8">
        <v>24104</v>
      </c>
      <c r="J49" s="4">
        <f t="shared" si="0"/>
        <v>3793</v>
      </c>
      <c r="K49" s="8">
        <v>57803</v>
      </c>
      <c r="L49" s="8">
        <v>213</v>
      </c>
      <c r="M49" s="5" t="s">
        <v>34</v>
      </c>
      <c r="N49" s="5"/>
      <c r="O49" s="5" t="s">
        <v>46</v>
      </c>
      <c r="P49" s="89">
        <f>IFERROR(VLOOKUP(O49,'[1]Campaign Metadata'!A:C,2,FALSE),"")</f>
        <v>45627</v>
      </c>
      <c r="Q49" s="90">
        <f>IFERROR(VLOOKUP(O49,'[1]Campaign Metadata'!A:C,3,FALSE),"")</f>
        <v>45657</v>
      </c>
      <c r="R49" s="94" t="str">
        <f t="shared" si="1"/>
        <v>After</v>
      </c>
    </row>
    <row r="50" spans="1:18" ht="15.75" customHeight="1" thickTop="1" thickBot="1">
      <c r="A50" s="23" t="s">
        <v>79</v>
      </c>
      <c r="B50" s="11" t="s">
        <v>22</v>
      </c>
      <c r="C50" s="10">
        <v>45533</v>
      </c>
      <c r="D50" s="11" t="s">
        <v>23</v>
      </c>
      <c r="E50" s="9" t="s">
        <v>30</v>
      </c>
      <c r="F50" s="12">
        <v>4276</v>
      </c>
      <c r="G50" s="12">
        <v>227</v>
      </c>
      <c r="H50" s="12">
        <v>223</v>
      </c>
      <c r="I50" s="12">
        <v>43443</v>
      </c>
      <c r="J50" s="4">
        <f t="shared" si="0"/>
        <v>4726</v>
      </c>
      <c r="K50" s="12">
        <v>41005</v>
      </c>
      <c r="L50" s="12">
        <v>191</v>
      </c>
      <c r="M50" s="9" t="s">
        <v>19</v>
      </c>
      <c r="N50" s="9" t="s">
        <v>341</v>
      </c>
      <c r="O50" s="9" t="s">
        <v>16</v>
      </c>
      <c r="P50" s="89">
        <f>IFERROR(VLOOKUP(O50,'[1]Campaign Metadata'!A:C,2,FALSE),"")</f>
        <v>45667</v>
      </c>
      <c r="Q50" s="90">
        <f>IFERROR(VLOOKUP(O50,'[1]Campaign Metadata'!A:C,3,FALSE),"")</f>
        <v>45698</v>
      </c>
      <c r="R50" s="94" t="str">
        <f t="shared" si="1"/>
        <v>Before</v>
      </c>
    </row>
    <row r="51" spans="1:18" ht="15.75" customHeight="1" thickTop="1" thickBot="1">
      <c r="A51" s="22" t="s">
        <v>80</v>
      </c>
      <c r="B51" s="7" t="s">
        <v>22</v>
      </c>
      <c r="C51" s="6">
        <v>45769</v>
      </c>
      <c r="D51" s="7" t="s">
        <v>14</v>
      </c>
      <c r="E51" s="5" t="s">
        <v>15</v>
      </c>
      <c r="F51" s="8">
        <v>4401</v>
      </c>
      <c r="G51" s="8">
        <v>421</v>
      </c>
      <c r="H51" s="8">
        <v>216</v>
      </c>
      <c r="I51" s="8">
        <v>24890</v>
      </c>
      <c r="J51" s="4">
        <f t="shared" si="0"/>
        <v>5038</v>
      </c>
      <c r="K51" s="8">
        <v>54361</v>
      </c>
      <c r="L51" s="8">
        <v>148</v>
      </c>
      <c r="M51" s="5" t="s">
        <v>34</v>
      </c>
      <c r="N51" s="5"/>
      <c r="O51" s="5" t="s">
        <v>16</v>
      </c>
      <c r="P51" s="89">
        <f>IFERROR(VLOOKUP(O51,'[1]Campaign Metadata'!A:C,2,FALSE),"")</f>
        <v>45667</v>
      </c>
      <c r="Q51" s="90">
        <f>IFERROR(VLOOKUP(O51,'[1]Campaign Metadata'!A:C,3,FALSE),"")</f>
        <v>45698</v>
      </c>
      <c r="R51" s="94" t="str">
        <f t="shared" si="1"/>
        <v>After</v>
      </c>
    </row>
    <row r="52" spans="1:18" ht="15.75" customHeight="1" thickTop="1" thickBot="1">
      <c r="A52" s="23" t="s">
        <v>81</v>
      </c>
      <c r="B52" s="11" t="s">
        <v>27</v>
      </c>
      <c r="C52" s="10">
        <v>45425</v>
      </c>
      <c r="D52" s="11" t="s">
        <v>48</v>
      </c>
      <c r="E52" s="9" t="s">
        <v>18</v>
      </c>
      <c r="F52" s="12">
        <v>4161</v>
      </c>
      <c r="G52" s="12">
        <v>481</v>
      </c>
      <c r="H52" s="12">
        <v>61</v>
      </c>
      <c r="I52" s="12">
        <v>45884</v>
      </c>
      <c r="J52" s="4">
        <f t="shared" si="0"/>
        <v>4703</v>
      </c>
      <c r="K52" s="12">
        <v>48955</v>
      </c>
      <c r="L52" s="12">
        <v>215</v>
      </c>
      <c r="M52" s="9" t="s">
        <v>19</v>
      </c>
      <c r="N52" s="9" t="s">
        <v>37</v>
      </c>
      <c r="O52" s="9" t="s">
        <v>49</v>
      </c>
      <c r="P52" s="89">
        <f>IFERROR(VLOOKUP(O52,'[1]Campaign Metadata'!A:C,2,FALSE),"")</f>
        <v>45458</v>
      </c>
      <c r="Q52" s="90">
        <f>IFERROR(VLOOKUP(O52,'[1]Campaign Metadata'!A:C,3,FALSE),"")</f>
        <v>45488</v>
      </c>
      <c r="R52" s="94" t="str">
        <f t="shared" si="1"/>
        <v>Before</v>
      </c>
    </row>
    <row r="53" spans="1:18" ht="15.75" customHeight="1" thickTop="1" thickBot="1">
      <c r="A53" s="22" t="s">
        <v>82</v>
      </c>
      <c r="B53" s="7" t="s">
        <v>22</v>
      </c>
      <c r="C53" s="6">
        <v>45539</v>
      </c>
      <c r="D53" s="7" t="s">
        <v>23</v>
      </c>
      <c r="E53" s="5" t="s">
        <v>24</v>
      </c>
      <c r="F53" s="8">
        <v>2613</v>
      </c>
      <c r="G53" s="8">
        <v>455</v>
      </c>
      <c r="H53" s="8">
        <v>228</v>
      </c>
      <c r="I53" s="8">
        <v>21645</v>
      </c>
      <c r="J53" s="4">
        <f t="shared" si="0"/>
        <v>3296</v>
      </c>
      <c r="K53" s="8">
        <v>61334</v>
      </c>
      <c r="L53" s="8">
        <v>261</v>
      </c>
      <c r="M53" s="5" t="s">
        <v>19</v>
      </c>
      <c r="N53" s="5" t="s">
        <v>341</v>
      </c>
      <c r="O53" s="5" t="s">
        <v>16</v>
      </c>
      <c r="P53" s="89">
        <f>IFERROR(VLOOKUP(O53,'[1]Campaign Metadata'!A:C,2,FALSE),"")</f>
        <v>45667</v>
      </c>
      <c r="Q53" s="90">
        <f>IFERROR(VLOOKUP(O53,'[1]Campaign Metadata'!A:C,3,FALSE),"")</f>
        <v>45698</v>
      </c>
      <c r="R53" s="94" t="str">
        <f t="shared" si="1"/>
        <v>Before</v>
      </c>
    </row>
    <row r="54" spans="1:18" ht="15.75" customHeight="1" thickTop="1" thickBot="1">
      <c r="A54" s="23" t="s">
        <v>83</v>
      </c>
      <c r="B54" s="11" t="s">
        <v>22</v>
      </c>
      <c r="C54" s="10">
        <v>45516</v>
      </c>
      <c r="D54" s="11" t="s">
        <v>23</v>
      </c>
      <c r="E54" s="9" t="s">
        <v>346</v>
      </c>
      <c r="F54" s="12">
        <v>2842</v>
      </c>
      <c r="G54" s="12">
        <v>213</v>
      </c>
      <c r="H54" s="12">
        <v>331</v>
      </c>
      <c r="I54" s="12">
        <v>57660</v>
      </c>
      <c r="J54" s="4">
        <f t="shared" si="0"/>
        <v>3386</v>
      </c>
      <c r="K54" s="12">
        <v>68606</v>
      </c>
      <c r="L54" s="12">
        <v>87</v>
      </c>
      <c r="M54" s="9" t="s">
        <v>341</v>
      </c>
      <c r="N54" s="9" t="s">
        <v>34</v>
      </c>
      <c r="O54" s="9" t="s">
        <v>16</v>
      </c>
      <c r="P54" s="89">
        <f>IFERROR(VLOOKUP(O54,'[1]Campaign Metadata'!A:C,2,FALSE),"")</f>
        <v>45667</v>
      </c>
      <c r="Q54" s="90">
        <f>IFERROR(VLOOKUP(O54,'[1]Campaign Metadata'!A:C,3,FALSE),"")</f>
        <v>45698</v>
      </c>
      <c r="R54" s="94" t="str">
        <f t="shared" si="1"/>
        <v>Before</v>
      </c>
    </row>
    <row r="55" spans="1:18" ht="15.75" customHeight="1" thickTop="1" thickBot="1">
      <c r="A55" s="22" t="s">
        <v>84</v>
      </c>
      <c r="B55" s="7" t="s">
        <v>13</v>
      </c>
      <c r="C55" s="6">
        <v>45722</v>
      </c>
      <c r="D55" s="7" t="s">
        <v>14</v>
      </c>
      <c r="E55" s="5" t="s">
        <v>30</v>
      </c>
      <c r="F55" s="8">
        <v>4851</v>
      </c>
      <c r="G55" s="8">
        <v>460</v>
      </c>
      <c r="H55" s="8">
        <v>212</v>
      </c>
      <c r="I55" s="8">
        <v>58075</v>
      </c>
      <c r="J55" s="4">
        <f t="shared" si="0"/>
        <v>5523</v>
      </c>
      <c r="K55" s="8">
        <v>59574</v>
      </c>
      <c r="L55" s="8">
        <v>239</v>
      </c>
      <c r="M55" s="5" t="s">
        <v>19</v>
      </c>
      <c r="N55" s="5"/>
      <c r="O55" s="5" t="s">
        <v>20</v>
      </c>
      <c r="P55" s="89">
        <f>IFERROR(VLOOKUP(O55,'[1]Campaign Metadata'!A:C,2,FALSE),"")</f>
        <v>45717</v>
      </c>
      <c r="Q55" s="90">
        <f>IFERROR(VLOOKUP(O55,'[1]Campaign Metadata'!A:C,3,FALSE),"")</f>
        <v>45747</v>
      </c>
      <c r="R55" s="94" t="str">
        <f t="shared" si="1"/>
        <v>During</v>
      </c>
    </row>
    <row r="56" spans="1:18" ht="15.75" customHeight="1" thickTop="1" thickBot="1">
      <c r="A56" s="23" t="s">
        <v>85</v>
      </c>
      <c r="B56" s="11" t="s">
        <v>22</v>
      </c>
      <c r="C56" s="10">
        <v>45420</v>
      </c>
      <c r="D56" s="11" t="s">
        <v>14</v>
      </c>
      <c r="E56" s="9" t="s">
        <v>18</v>
      </c>
      <c r="F56" s="12">
        <v>1828</v>
      </c>
      <c r="G56" s="12">
        <v>450</v>
      </c>
      <c r="H56" s="12">
        <v>214</v>
      </c>
      <c r="I56" s="12">
        <v>52115</v>
      </c>
      <c r="J56" s="4">
        <f t="shared" si="0"/>
        <v>2492</v>
      </c>
      <c r="K56" s="12">
        <v>19166</v>
      </c>
      <c r="L56" s="12">
        <v>190</v>
      </c>
      <c r="M56" s="9" t="s">
        <v>34</v>
      </c>
      <c r="N56" s="9"/>
      <c r="O56" s="9" t="s">
        <v>16</v>
      </c>
      <c r="P56" s="89">
        <f>IFERROR(VLOOKUP(O56,'[1]Campaign Metadata'!A:C,2,FALSE),"")</f>
        <v>45667</v>
      </c>
      <c r="Q56" s="90">
        <f>IFERROR(VLOOKUP(O56,'[1]Campaign Metadata'!A:C,3,FALSE),"")</f>
        <v>45698</v>
      </c>
      <c r="R56" s="94" t="str">
        <f t="shared" si="1"/>
        <v>Before</v>
      </c>
    </row>
    <row r="57" spans="1:18" ht="15.75" customHeight="1" thickTop="1" thickBot="1">
      <c r="A57" s="22" t="s">
        <v>86</v>
      </c>
      <c r="B57" s="7" t="s">
        <v>13</v>
      </c>
      <c r="C57" s="6">
        <v>45707</v>
      </c>
      <c r="D57" s="7" t="s">
        <v>23</v>
      </c>
      <c r="E57" s="5" t="s">
        <v>347</v>
      </c>
      <c r="F57" s="8">
        <v>2422</v>
      </c>
      <c r="G57" s="8">
        <v>455</v>
      </c>
      <c r="H57" s="8">
        <v>376</v>
      </c>
      <c r="I57" s="8">
        <v>23428</v>
      </c>
      <c r="J57" s="4">
        <f t="shared" si="0"/>
        <v>3253</v>
      </c>
      <c r="K57" s="8">
        <v>46775</v>
      </c>
      <c r="L57" s="8">
        <v>259</v>
      </c>
      <c r="M57" s="5" t="s">
        <v>34</v>
      </c>
      <c r="N57" s="5"/>
      <c r="O57" s="5" t="s">
        <v>46</v>
      </c>
      <c r="P57" s="89">
        <f>IFERROR(VLOOKUP(O57,'[1]Campaign Metadata'!A:C,2,FALSE),"")</f>
        <v>45627</v>
      </c>
      <c r="Q57" s="90">
        <f>IFERROR(VLOOKUP(O57,'[1]Campaign Metadata'!A:C,3,FALSE),"")</f>
        <v>45657</v>
      </c>
      <c r="R57" s="94" t="str">
        <f t="shared" si="1"/>
        <v>After</v>
      </c>
    </row>
    <row r="58" spans="1:18" ht="15.75" customHeight="1" thickTop="1" thickBot="1">
      <c r="A58" s="23" t="s">
        <v>87</v>
      </c>
      <c r="B58" s="11" t="s">
        <v>13</v>
      </c>
      <c r="C58" s="10">
        <v>45299</v>
      </c>
      <c r="D58" s="11" t="s">
        <v>14</v>
      </c>
      <c r="E58" s="9" t="s">
        <v>33</v>
      </c>
      <c r="F58" s="12">
        <v>2683</v>
      </c>
      <c r="G58" s="12">
        <v>405</v>
      </c>
      <c r="H58" s="12">
        <v>223</v>
      </c>
      <c r="I58" s="12">
        <v>31233</v>
      </c>
      <c r="J58" s="4">
        <f t="shared" si="0"/>
        <v>3311</v>
      </c>
      <c r="K58" s="12">
        <v>58106</v>
      </c>
      <c r="L58" s="12">
        <v>291</v>
      </c>
      <c r="M58" s="9" t="s">
        <v>19</v>
      </c>
      <c r="N58" s="9"/>
      <c r="O58" s="9" t="s">
        <v>20</v>
      </c>
      <c r="P58" s="89">
        <f>IFERROR(VLOOKUP(O58,'[1]Campaign Metadata'!A:C,2,FALSE),"")</f>
        <v>45717</v>
      </c>
      <c r="Q58" s="90">
        <f>IFERROR(VLOOKUP(O58,'[1]Campaign Metadata'!A:C,3,FALSE),"")</f>
        <v>45747</v>
      </c>
      <c r="R58" s="94" t="str">
        <f t="shared" si="1"/>
        <v>Before</v>
      </c>
    </row>
    <row r="59" spans="1:18" ht="15.75" customHeight="1" thickTop="1" thickBot="1">
      <c r="A59" s="22" t="s">
        <v>88</v>
      </c>
      <c r="B59" s="7" t="s">
        <v>27</v>
      </c>
      <c r="C59" s="6">
        <v>45490</v>
      </c>
      <c r="D59" s="7" t="s">
        <v>14</v>
      </c>
      <c r="E59" s="5" t="s">
        <v>33</v>
      </c>
      <c r="F59" s="8">
        <v>3135</v>
      </c>
      <c r="G59" s="8">
        <v>110</v>
      </c>
      <c r="H59" s="8">
        <v>215</v>
      </c>
      <c r="I59" s="8">
        <v>39192</v>
      </c>
      <c r="J59" s="4">
        <f t="shared" si="0"/>
        <v>3460</v>
      </c>
      <c r="K59" s="8">
        <v>24744</v>
      </c>
      <c r="L59" s="8">
        <v>177</v>
      </c>
      <c r="M59" s="5" t="s">
        <v>19</v>
      </c>
      <c r="N59" s="5" t="s">
        <v>340</v>
      </c>
      <c r="O59" s="5" t="s">
        <v>20</v>
      </c>
      <c r="P59" s="89">
        <f>IFERROR(VLOOKUP(O59,'[1]Campaign Metadata'!A:C,2,FALSE),"")</f>
        <v>45717</v>
      </c>
      <c r="Q59" s="90">
        <f>IFERROR(VLOOKUP(O59,'[1]Campaign Metadata'!A:C,3,FALSE),"")</f>
        <v>45747</v>
      </c>
      <c r="R59" s="94" t="str">
        <f t="shared" si="1"/>
        <v>Before</v>
      </c>
    </row>
    <row r="60" spans="1:18" ht="15.75" customHeight="1" thickTop="1" thickBot="1">
      <c r="A60" s="23" t="s">
        <v>89</v>
      </c>
      <c r="B60" s="11" t="s">
        <v>27</v>
      </c>
      <c r="C60" s="10">
        <v>45514</v>
      </c>
      <c r="D60" s="11" t="s">
        <v>14</v>
      </c>
      <c r="E60" s="9" t="s">
        <v>347</v>
      </c>
      <c r="F60" s="12">
        <v>1105</v>
      </c>
      <c r="G60" s="12">
        <v>181</v>
      </c>
      <c r="H60" s="12">
        <v>55</v>
      </c>
      <c r="I60" s="12">
        <v>53581</v>
      </c>
      <c r="J60" s="4">
        <f t="shared" si="0"/>
        <v>1341</v>
      </c>
      <c r="K60" s="12">
        <v>74048</v>
      </c>
      <c r="L60" s="12">
        <v>220</v>
      </c>
      <c r="M60" s="9" t="s">
        <v>19</v>
      </c>
      <c r="N60" s="9" t="s">
        <v>340</v>
      </c>
      <c r="O60" s="9" t="s">
        <v>20</v>
      </c>
      <c r="P60" s="89">
        <f>IFERROR(VLOOKUP(O60,'[1]Campaign Metadata'!A:C,2,FALSE),"")</f>
        <v>45717</v>
      </c>
      <c r="Q60" s="90">
        <f>IFERROR(VLOOKUP(O60,'[1]Campaign Metadata'!A:C,3,FALSE),"")</f>
        <v>45747</v>
      </c>
      <c r="R60" s="94" t="str">
        <f t="shared" si="1"/>
        <v>Before</v>
      </c>
    </row>
    <row r="61" spans="1:18" ht="15.75" customHeight="1" thickTop="1" thickBot="1">
      <c r="A61" s="22" t="s">
        <v>90</v>
      </c>
      <c r="B61" s="7" t="s">
        <v>27</v>
      </c>
      <c r="C61" s="6">
        <v>45398</v>
      </c>
      <c r="D61" s="7" t="s">
        <v>14</v>
      </c>
      <c r="E61" s="5" t="s">
        <v>15</v>
      </c>
      <c r="F61" s="8">
        <v>4674</v>
      </c>
      <c r="G61" s="8">
        <v>326</v>
      </c>
      <c r="H61" s="8">
        <v>62</v>
      </c>
      <c r="I61" s="8">
        <v>45503</v>
      </c>
      <c r="J61" s="4">
        <f t="shared" si="0"/>
        <v>5062</v>
      </c>
      <c r="K61" s="8">
        <v>46814</v>
      </c>
      <c r="L61" s="8">
        <v>116</v>
      </c>
      <c r="M61" s="5" t="s">
        <v>19</v>
      </c>
      <c r="N61" s="5" t="s">
        <v>340</v>
      </c>
      <c r="O61" s="5" t="s">
        <v>20</v>
      </c>
      <c r="P61" s="89">
        <f>IFERROR(VLOOKUP(O61,'[1]Campaign Metadata'!A:C,2,FALSE),"")</f>
        <v>45717</v>
      </c>
      <c r="Q61" s="90">
        <f>IFERROR(VLOOKUP(O61,'[1]Campaign Metadata'!A:C,3,FALSE),"")</f>
        <v>45747</v>
      </c>
      <c r="R61" s="94" t="str">
        <f t="shared" si="1"/>
        <v>Before</v>
      </c>
    </row>
    <row r="62" spans="1:18" ht="15.75" customHeight="1" thickTop="1" thickBot="1">
      <c r="A62" s="23" t="s">
        <v>91</v>
      </c>
      <c r="B62" s="11" t="s">
        <v>27</v>
      </c>
      <c r="C62" s="10">
        <v>45292</v>
      </c>
      <c r="D62" s="11" t="s">
        <v>48</v>
      </c>
      <c r="E62" s="9" t="s">
        <v>18</v>
      </c>
      <c r="F62" s="12">
        <v>3437</v>
      </c>
      <c r="G62" s="12">
        <v>129</v>
      </c>
      <c r="H62" s="12">
        <v>359</v>
      </c>
      <c r="I62" s="12">
        <v>44558</v>
      </c>
      <c r="J62" s="4">
        <f t="shared" si="0"/>
        <v>3925</v>
      </c>
      <c r="K62" s="12">
        <v>30854</v>
      </c>
      <c r="L62" s="12">
        <v>171</v>
      </c>
      <c r="M62" s="9" t="s">
        <v>19</v>
      </c>
      <c r="N62" s="9" t="s">
        <v>37</v>
      </c>
      <c r="O62" s="9" t="s">
        <v>49</v>
      </c>
      <c r="P62" s="89">
        <f>IFERROR(VLOOKUP(O62,'[1]Campaign Metadata'!A:C,2,FALSE),"")</f>
        <v>45458</v>
      </c>
      <c r="Q62" s="90">
        <f>IFERROR(VLOOKUP(O62,'[1]Campaign Metadata'!A:C,3,FALSE),"")</f>
        <v>45488</v>
      </c>
      <c r="R62" s="94" t="str">
        <f t="shared" si="1"/>
        <v>Before</v>
      </c>
    </row>
    <row r="63" spans="1:18" ht="15.75" customHeight="1" thickTop="1" thickBot="1">
      <c r="A63" s="22" t="s">
        <v>92</v>
      </c>
      <c r="B63" s="7" t="s">
        <v>22</v>
      </c>
      <c r="C63" s="6">
        <v>45599</v>
      </c>
      <c r="D63" s="7" t="s">
        <v>23</v>
      </c>
      <c r="E63" s="5" t="s">
        <v>344</v>
      </c>
      <c r="F63" s="8">
        <v>1959</v>
      </c>
      <c r="G63" s="8">
        <v>316</v>
      </c>
      <c r="H63" s="8">
        <v>82</v>
      </c>
      <c r="I63" s="8">
        <v>54036</v>
      </c>
      <c r="J63" s="4">
        <f t="shared" si="0"/>
        <v>2357</v>
      </c>
      <c r="K63" s="8">
        <v>69015</v>
      </c>
      <c r="L63" s="8">
        <v>182</v>
      </c>
      <c r="M63" s="5" t="s">
        <v>341</v>
      </c>
      <c r="N63" s="5" t="s">
        <v>34</v>
      </c>
      <c r="O63" s="5" t="s">
        <v>16</v>
      </c>
      <c r="P63" s="89">
        <f>IFERROR(VLOOKUP(O63,'[1]Campaign Metadata'!A:C,2,FALSE),"")</f>
        <v>45667</v>
      </c>
      <c r="Q63" s="90">
        <f>IFERROR(VLOOKUP(O63,'[1]Campaign Metadata'!A:C,3,FALSE),"")</f>
        <v>45698</v>
      </c>
      <c r="R63" s="94" t="str">
        <f t="shared" si="1"/>
        <v>Before</v>
      </c>
    </row>
    <row r="64" spans="1:18" ht="15.75" customHeight="1" thickTop="1" thickBot="1">
      <c r="A64" s="23" t="s">
        <v>93</v>
      </c>
      <c r="B64" s="11" t="s">
        <v>22</v>
      </c>
      <c r="C64" s="10">
        <v>45480</v>
      </c>
      <c r="D64" s="11" t="s">
        <v>14</v>
      </c>
      <c r="E64" s="9" t="s">
        <v>24</v>
      </c>
      <c r="F64" s="12">
        <v>1035</v>
      </c>
      <c r="G64" s="12">
        <v>137</v>
      </c>
      <c r="H64" s="12">
        <v>184</v>
      </c>
      <c r="I64" s="12">
        <v>37302</v>
      </c>
      <c r="J64" s="4">
        <f t="shared" si="0"/>
        <v>1356</v>
      </c>
      <c r="K64" s="12">
        <v>68953</v>
      </c>
      <c r="L64" s="12">
        <v>237</v>
      </c>
      <c r="M64" s="9" t="s">
        <v>37</v>
      </c>
      <c r="N64" s="9"/>
      <c r="O64" s="9" t="s">
        <v>20</v>
      </c>
      <c r="P64" s="89">
        <f>IFERROR(VLOOKUP(O64,'[1]Campaign Metadata'!A:C,2,FALSE),"")</f>
        <v>45717</v>
      </c>
      <c r="Q64" s="90">
        <f>IFERROR(VLOOKUP(O64,'[1]Campaign Metadata'!A:C,3,FALSE),"")</f>
        <v>45747</v>
      </c>
      <c r="R64" s="94" t="str">
        <f t="shared" si="1"/>
        <v>Before</v>
      </c>
    </row>
    <row r="65" spans="1:18" ht="15.75" customHeight="1" thickTop="1" thickBot="1">
      <c r="A65" s="22" t="s">
        <v>94</v>
      </c>
      <c r="B65" s="7" t="s">
        <v>22</v>
      </c>
      <c r="C65" s="6">
        <v>45679</v>
      </c>
      <c r="D65" s="7" t="s">
        <v>23</v>
      </c>
      <c r="E65" s="5" t="s">
        <v>24</v>
      </c>
      <c r="F65" s="8">
        <v>4478</v>
      </c>
      <c r="G65" s="8">
        <v>101</v>
      </c>
      <c r="H65" s="8">
        <v>121</v>
      </c>
      <c r="I65" s="8">
        <v>51035</v>
      </c>
      <c r="J65" s="4">
        <f t="shared" si="0"/>
        <v>4700</v>
      </c>
      <c r="K65" s="8">
        <v>58207</v>
      </c>
      <c r="L65" s="8">
        <v>205</v>
      </c>
      <c r="M65" s="5" t="s">
        <v>341</v>
      </c>
      <c r="N65" s="5" t="s">
        <v>34</v>
      </c>
      <c r="O65" s="5" t="s">
        <v>16</v>
      </c>
      <c r="P65" s="89">
        <f>IFERROR(VLOOKUP(O65,'[1]Campaign Metadata'!A:C,2,FALSE),"")</f>
        <v>45667</v>
      </c>
      <c r="Q65" s="90">
        <f>IFERROR(VLOOKUP(O65,'[1]Campaign Metadata'!A:C,3,FALSE),"")</f>
        <v>45698</v>
      </c>
      <c r="R65" s="94" t="str">
        <f t="shared" si="1"/>
        <v>During</v>
      </c>
    </row>
    <row r="66" spans="1:18" ht="15.75" customHeight="1" thickTop="1" thickBot="1">
      <c r="A66" s="23" t="s">
        <v>95</v>
      </c>
      <c r="B66" s="11" t="s">
        <v>27</v>
      </c>
      <c r="C66" s="10">
        <v>45438</v>
      </c>
      <c r="D66" s="11" t="s">
        <v>14</v>
      </c>
      <c r="E66" s="9" t="s">
        <v>347</v>
      </c>
      <c r="F66" s="12">
        <v>1488</v>
      </c>
      <c r="G66" s="12">
        <v>327</v>
      </c>
      <c r="H66" s="12">
        <v>110</v>
      </c>
      <c r="I66" s="12">
        <v>53805</v>
      </c>
      <c r="J66" s="4">
        <f t="shared" si="0"/>
        <v>1925</v>
      </c>
      <c r="K66" s="12">
        <v>30239</v>
      </c>
      <c r="L66" s="12">
        <v>109</v>
      </c>
      <c r="M66" s="9" t="s">
        <v>19</v>
      </c>
      <c r="N66" s="9" t="s">
        <v>340</v>
      </c>
      <c r="O66" s="9" t="s">
        <v>20</v>
      </c>
      <c r="P66" s="89">
        <f>IFERROR(VLOOKUP(O66,'[1]Campaign Metadata'!A:C,2,FALSE),"")</f>
        <v>45717</v>
      </c>
      <c r="Q66" s="90">
        <f>IFERROR(VLOOKUP(O66,'[1]Campaign Metadata'!A:C,3,FALSE),"")</f>
        <v>45747</v>
      </c>
      <c r="R66" s="94" t="str">
        <f t="shared" si="1"/>
        <v>Before</v>
      </c>
    </row>
    <row r="67" spans="1:18" ht="15.75" customHeight="1" thickTop="1" thickBot="1">
      <c r="A67" s="22" t="s">
        <v>96</v>
      </c>
      <c r="B67" s="7" t="s">
        <v>13</v>
      </c>
      <c r="C67" s="6">
        <v>45763</v>
      </c>
      <c r="D67" s="7" t="s">
        <v>14</v>
      </c>
      <c r="E67" s="5" t="s">
        <v>344</v>
      </c>
      <c r="F67" s="8">
        <v>4836</v>
      </c>
      <c r="G67" s="8">
        <v>331</v>
      </c>
      <c r="H67" s="8">
        <v>140</v>
      </c>
      <c r="I67" s="8">
        <v>58792</v>
      </c>
      <c r="J67" s="4">
        <f t="shared" ref="J67:J130" si="2">(F67+G67+H67)</f>
        <v>5307</v>
      </c>
      <c r="K67" s="8">
        <v>47711</v>
      </c>
      <c r="L67" s="8">
        <v>227</v>
      </c>
      <c r="M67" s="5" t="s">
        <v>37</v>
      </c>
      <c r="N67" s="5" t="s">
        <v>34</v>
      </c>
      <c r="O67" s="5" t="s">
        <v>16</v>
      </c>
      <c r="P67" s="89">
        <f>IFERROR(VLOOKUP(O67,'[1]Campaign Metadata'!A:C,2,FALSE),"")</f>
        <v>45667</v>
      </c>
      <c r="Q67" s="90">
        <f>IFERROR(VLOOKUP(O67,'[1]Campaign Metadata'!A:C,3,FALSE),"")</f>
        <v>45698</v>
      </c>
      <c r="R67" s="94" t="str">
        <f t="shared" ref="R67:R130" si="3">IF(AND(C67&lt;=Q67,C67&gt;=P67),"During",IF(C67&gt;Q67,"After","Before"))</f>
        <v>After</v>
      </c>
    </row>
    <row r="68" spans="1:18" ht="15.75" customHeight="1" thickTop="1" thickBot="1">
      <c r="A68" s="23" t="s">
        <v>97</v>
      </c>
      <c r="B68" s="11" t="s">
        <v>27</v>
      </c>
      <c r="C68" s="10">
        <v>45384</v>
      </c>
      <c r="D68" s="11" t="s">
        <v>48</v>
      </c>
      <c r="E68" s="9" t="s">
        <v>42</v>
      </c>
      <c r="F68" s="12">
        <v>4563</v>
      </c>
      <c r="G68" s="12">
        <v>488</v>
      </c>
      <c r="H68" s="12">
        <v>356</v>
      </c>
      <c r="I68" s="12">
        <v>30619</v>
      </c>
      <c r="J68" s="4">
        <f t="shared" si="2"/>
        <v>5407</v>
      </c>
      <c r="K68" s="12">
        <v>23328</v>
      </c>
      <c r="L68" s="12">
        <v>267</v>
      </c>
      <c r="M68" s="9" t="s">
        <v>19</v>
      </c>
      <c r="N68" s="9" t="s">
        <v>37</v>
      </c>
      <c r="O68" s="9" t="s">
        <v>49</v>
      </c>
      <c r="P68" s="89">
        <f>IFERROR(VLOOKUP(O68,'[1]Campaign Metadata'!A:C,2,FALSE),"")</f>
        <v>45458</v>
      </c>
      <c r="Q68" s="90">
        <f>IFERROR(VLOOKUP(O68,'[1]Campaign Metadata'!A:C,3,FALSE),"")</f>
        <v>45488</v>
      </c>
      <c r="R68" s="94" t="str">
        <f t="shared" si="3"/>
        <v>Before</v>
      </c>
    </row>
    <row r="69" spans="1:18" ht="15.75" customHeight="1" thickTop="1" thickBot="1">
      <c r="A69" s="22" t="s">
        <v>98</v>
      </c>
      <c r="B69" s="7" t="s">
        <v>22</v>
      </c>
      <c r="C69" s="6">
        <v>45379</v>
      </c>
      <c r="D69" s="7" t="s">
        <v>14</v>
      </c>
      <c r="E69" s="5" t="s">
        <v>345</v>
      </c>
      <c r="F69" s="8">
        <v>3276</v>
      </c>
      <c r="G69" s="8">
        <v>421</v>
      </c>
      <c r="H69" s="8">
        <v>114</v>
      </c>
      <c r="I69" s="8">
        <v>20580</v>
      </c>
      <c r="J69" s="4">
        <f t="shared" si="2"/>
        <v>3811</v>
      </c>
      <c r="K69" s="8">
        <v>30324</v>
      </c>
      <c r="L69" s="8">
        <v>221</v>
      </c>
      <c r="M69" s="5" t="s">
        <v>37</v>
      </c>
      <c r="N69" s="5"/>
      <c r="O69" s="5" t="s">
        <v>20</v>
      </c>
      <c r="P69" s="89">
        <f>IFERROR(VLOOKUP(O69,'[1]Campaign Metadata'!A:C,2,FALSE),"")</f>
        <v>45717</v>
      </c>
      <c r="Q69" s="90">
        <f>IFERROR(VLOOKUP(O69,'[1]Campaign Metadata'!A:C,3,FALSE),"")</f>
        <v>45747</v>
      </c>
      <c r="R69" s="94" t="str">
        <f t="shared" si="3"/>
        <v>Before</v>
      </c>
    </row>
    <row r="70" spans="1:18" ht="15.75" customHeight="1" thickTop="1" thickBot="1">
      <c r="A70" s="23" t="s">
        <v>99</v>
      </c>
      <c r="B70" s="11" t="s">
        <v>22</v>
      </c>
      <c r="C70" s="10">
        <v>45643</v>
      </c>
      <c r="D70" s="11" t="s">
        <v>23</v>
      </c>
      <c r="E70" s="9" t="s">
        <v>345</v>
      </c>
      <c r="F70" s="12">
        <v>1316</v>
      </c>
      <c r="G70" s="12">
        <v>472</v>
      </c>
      <c r="H70" s="12">
        <v>286</v>
      </c>
      <c r="I70" s="12">
        <v>44692</v>
      </c>
      <c r="J70" s="4">
        <f t="shared" si="2"/>
        <v>2074</v>
      </c>
      <c r="K70" s="12">
        <v>53343</v>
      </c>
      <c r="L70" s="12">
        <v>227</v>
      </c>
      <c r="M70" s="9" t="s">
        <v>19</v>
      </c>
      <c r="N70" s="9" t="s">
        <v>341</v>
      </c>
      <c r="O70" s="9" t="s">
        <v>16</v>
      </c>
      <c r="P70" s="89">
        <f>IFERROR(VLOOKUP(O70,'[1]Campaign Metadata'!A:C,2,FALSE),"")</f>
        <v>45667</v>
      </c>
      <c r="Q70" s="90">
        <f>IFERROR(VLOOKUP(O70,'[1]Campaign Metadata'!A:C,3,FALSE),"")</f>
        <v>45698</v>
      </c>
      <c r="R70" s="94" t="str">
        <f t="shared" si="3"/>
        <v>Before</v>
      </c>
    </row>
    <row r="71" spans="1:18" ht="15.75" customHeight="1" thickTop="1" thickBot="1">
      <c r="A71" s="22" t="s">
        <v>100</v>
      </c>
      <c r="B71" s="7" t="s">
        <v>22</v>
      </c>
      <c r="C71" s="6">
        <v>45662</v>
      </c>
      <c r="D71" s="7" t="s">
        <v>14</v>
      </c>
      <c r="E71" s="5" t="s">
        <v>344</v>
      </c>
      <c r="F71" s="8">
        <v>4811</v>
      </c>
      <c r="G71" s="8">
        <v>473</v>
      </c>
      <c r="H71" s="8">
        <v>254</v>
      </c>
      <c r="I71" s="8">
        <v>51964</v>
      </c>
      <c r="J71" s="4">
        <f t="shared" si="2"/>
        <v>5538</v>
      </c>
      <c r="K71" s="8">
        <v>68795</v>
      </c>
      <c r="L71" s="8">
        <v>107</v>
      </c>
      <c r="M71" s="5" t="s">
        <v>34</v>
      </c>
      <c r="N71" s="5"/>
      <c r="O71" s="5" t="s">
        <v>16</v>
      </c>
      <c r="P71" s="89">
        <f>IFERROR(VLOOKUP(O71,'[1]Campaign Metadata'!A:C,2,FALSE),"")</f>
        <v>45667</v>
      </c>
      <c r="Q71" s="90">
        <f>IFERROR(VLOOKUP(O71,'[1]Campaign Metadata'!A:C,3,FALSE),"")</f>
        <v>45698</v>
      </c>
      <c r="R71" s="94" t="str">
        <f t="shared" si="3"/>
        <v>Before</v>
      </c>
    </row>
    <row r="72" spans="1:18" ht="15.75" customHeight="1" thickTop="1" thickBot="1">
      <c r="A72" s="23" t="s">
        <v>101</v>
      </c>
      <c r="B72" s="11" t="s">
        <v>22</v>
      </c>
      <c r="C72" s="10">
        <v>45302</v>
      </c>
      <c r="D72" s="11" t="s">
        <v>14</v>
      </c>
      <c r="E72" s="9" t="s">
        <v>346</v>
      </c>
      <c r="F72" s="12">
        <v>4218</v>
      </c>
      <c r="G72" s="12">
        <v>247</v>
      </c>
      <c r="H72" s="12">
        <v>183</v>
      </c>
      <c r="I72" s="12">
        <v>28914</v>
      </c>
      <c r="J72" s="4">
        <f t="shared" si="2"/>
        <v>4648</v>
      </c>
      <c r="K72" s="12">
        <v>18310</v>
      </c>
      <c r="L72" s="12">
        <v>135</v>
      </c>
      <c r="M72" s="9" t="s">
        <v>37</v>
      </c>
      <c r="N72" s="9"/>
      <c r="O72" s="9" t="s">
        <v>20</v>
      </c>
      <c r="P72" s="89">
        <f>IFERROR(VLOOKUP(O72,'[1]Campaign Metadata'!A:C,2,FALSE),"")</f>
        <v>45717</v>
      </c>
      <c r="Q72" s="90">
        <f>IFERROR(VLOOKUP(O72,'[1]Campaign Metadata'!A:C,3,FALSE),"")</f>
        <v>45747</v>
      </c>
      <c r="R72" s="94" t="str">
        <f t="shared" si="3"/>
        <v>Before</v>
      </c>
    </row>
    <row r="73" spans="1:18" ht="15.75" customHeight="1" thickTop="1" thickBot="1">
      <c r="A73" s="22" t="s">
        <v>102</v>
      </c>
      <c r="B73" s="7" t="s">
        <v>13</v>
      </c>
      <c r="C73" s="6">
        <v>45576</v>
      </c>
      <c r="D73" s="7" t="s">
        <v>14</v>
      </c>
      <c r="E73" s="5" t="s">
        <v>347</v>
      </c>
      <c r="F73" s="8">
        <v>1360</v>
      </c>
      <c r="G73" s="8">
        <v>249</v>
      </c>
      <c r="H73" s="8">
        <v>52</v>
      </c>
      <c r="I73" s="8">
        <v>20368</v>
      </c>
      <c r="J73" s="4">
        <f t="shared" si="2"/>
        <v>1661</v>
      </c>
      <c r="K73" s="8">
        <v>42152</v>
      </c>
      <c r="L73" s="8">
        <v>193</v>
      </c>
      <c r="M73" s="5" t="s">
        <v>19</v>
      </c>
      <c r="N73" s="5"/>
      <c r="O73" s="5" t="s">
        <v>20</v>
      </c>
      <c r="P73" s="89">
        <f>IFERROR(VLOOKUP(O73,'[1]Campaign Metadata'!A:C,2,FALSE),"")</f>
        <v>45717</v>
      </c>
      <c r="Q73" s="90">
        <f>IFERROR(VLOOKUP(O73,'[1]Campaign Metadata'!A:C,3,FALSE),"")</f>
        <v>45747</v>
      </c>
      <c r="R73" s="94" t="str">
        <f t="shared" si="3"/>
        <v>Before</v>
      </c>
    </row>
    <row r="74" spans="1:18" ht="15.75" customHeight="1" thickTop="1" thickBot="1">
      <c r="A74" s="23" t="s">
        <v>103</v>
      </c>
      <c r="B74" s="11" t="s">
        <v>27</v>
      </c>
      <c r="C74" s="10">
        <v>45783</v>
      </c>
      <c r="D74" s="11" t="s">
        <v>48</v>
      </c>
      <c r="E74" s="9" t="s">
        <v>15</v>
      </c>
      <c r="F74" s="12">
        <v>1085</v>
      </c>
      <c r="G74" s="12">
        <v>496</v>
      </c>
      <c r="H74" s="12">
        <v>320</v>
      </c>
      <c r="I74" s="12">
        <v>36528</v>
      </c>
      <c r="J74" s="4">
        <f t="shared" si="2"/>
        <v>1901</v>
      </c>
      <c r="K74" s="12">
        <v>38599</v>
      </c>
      <c r="L74" s="12">
        <v>270</v>
      </c>
      <c r="M74" s="9" t="s">
        <v>19</v>
      </c>
      <c r="N74" s="9" t="s">
        <v>37</v>
      </c>
      <c r="O74" s="9" t="s">
        <v>49</v>
      </c>
      <c r="P74" s="89">
        <f>IFERROR(VLOOKUP(O74,'[1]Campaign Metadata'!A:C,2,FALSE),"")</f>
        <v>45458</v>
      </c>
      <c r="Q74" s="90">
        <f>IFERROR(VLOOKUP(O74,'[1]Campaign Metadata'!A:C,3,FALSE),"")</f>
        <v>45488</v>
      </c>
      <c r="R74" s="94" t="str">
        <f t="shared" si="3"/>
        <v>After</v>
      </c>
    </row>
    <row r="75" spans="1:18" ht="15.75" customHeight="1" thickTop="1" thickBot="1">
      <c r="A75" s="22" t="s">
        <v>104</v>
      </c>
      <c r="B75" s="7" t="s">
        <v>22</v>
      </c>
      <c r="C75" s="6">
        <v>45431</v>
      </c>
      <c r="D75" s="7" t="s">
        <v>23</v>
      </c>
      <c r="E75" s="5" t="s">
        <v>30</v>
      </c>
      <c r="F75" s="8">
        <v>1763</v>
      </c>
      <c r="G75" s="8">
        <v>206</v>
      </c>
      <c r="H75" s="8">
        <v>187</v>
      </c>
      <c r="I75" s="8">
        <v>53342</v>
      </c>
      <c r="J75" s="4">
        <f t="shared" si="2"/>
        <v>2156</v>
      </c>
      <c r="K75" s="8">
        <v>25095</v>
      </c>
      <c r="L75" s="8">
        <v>88</v>
      </c>
      <c r="M75" s="5" t="s">
        <v>19</v>
      </c>
      <c r="N75" s="5" t="s">
        <v>341</v>
      </c>
      <c r="O75" s="5" t="s">
        <v>16</v>
      </c>
      <c r="P75" s="89">
        <f>IFERROR(VLOOKUP(O75,'[1]Campaign Metadata'!A:C,2,FALSE),"")</f>
        <v>45667</v>
      </c>
      <c r="Q75" s="90">
        <f>IFERROR(VLOOKUP(O75,'[1]Campaign Metadata'!A:C,3,FALSE),"")</f>
        <v>45698</v>
      </c>
      <c r="R75" s="94" t="str">
        <f t="shared" si="3"/>
        <v>Before</v>
      </c>
    </row>
    <row r="76" spans="1:18" ht="15.75" customHeight="1" thickTop="1" thickBot="1">
      <c r="A76" s="23" t="s">
        <v>105</v>
      </c>
      <c r="B76" s="11" t="s">
        <v>22</v>
      </c>
      <c r="C76" s="10">
        <v>45313</v>
      </c>
      <c r="D76" s="11" t="s">
        <v>23</v>
      </c>
      <c r="E76" s="9" t="s">
        <v>347</v>
      </c>
      <c r="F76" s="12">
        <v>1554</v>
      </c>
      <c r="G76" s="12">
        <v>455</v>
      </c>
      <c r="H76" s="12">
        <v>158</v>
      </c>
      <c r="I76" s="12">
        <v>41947</v>
      </c>
      <c r="J76" s="4">
        <f t="shared" si="2"/>
        <v>2167</v>
      </c>
      <c r="K76" s="12">
        <v>48578</v>
      </c>
      <c r="L76" s="12">
        <v>101</v>
      </c>
      <c r="M76" s="9" t="s">
        <v>37</v>
      </c>
      <c r="N76" s="9" t="s">
        <v>34</v>
      </c>
      <c r="O76" s="9" t="s">
        <v>16</v>
      </c>
      <c r="P76" s="89">
        <f>IFERROR(VLOOKUP(O76,'[1]Campaign Metadata'!A:C,2,FALSE),"")</f>
        <v>45667</v>
      </c>
      <c r="Q76" s="90">
        <f>IFERROR(VLOOKUP(O76,'[1]Campaign Metadata'!A:C,3,FALSE),"")</f>
        <v>45698</v>
      </c>
      <c r="R76" s="94" t="str">
        <f t="shared" si="3"/>
        <v>Before</v>
      </c>
    </row>
    <row r="77" spans="1:18" ht="15.75" customHeight="1" thickTop="1" thickBot="1">
      <c r="A77" s="22" t="s">
        <v>106</v>
      </c>
      <c r="B77" s="7" t="s">
        <v>13</v>
      </c>
      <c r="C77" s="6">
        <v>45487</v>
      </c>
      <c r="D77" s="7" t="s">
        <v>14</v>
      </c>
      <c r="E77" s="5" t="s">
        <v>344</v>
      </c>
      <c r="F77" s="8">
        <v>2464</v>
      </c>
      <c r="G77" s="8">
        <v>401</v>
      </c>
      <c r="H77" s="8">
        <v>78</v>
      </c>
      <c r="I77" s="8">
        <v>38665</v>
      </c>
      <c r="J77" s="4">
        <f t="shared" si="2"/>
        <v>2943</v>
      </c>
      <c r="K77" s="8">
        <v>73593</v>
      </c>
      <c r="L77" s="8">
        <v>207</v>
      </c>
      <c r="M77" s="5" t="s">
        <v>19</v>
      </c>
      <c r="N77" s="5"/>
      <c r="O77" s="5" t="s">
        <v>20</v>
      </c>
      <c r="P77" s="89">
        <f>IFERROR(VLOOKUP(O77,'[1]Campaign Metadata'!A:C,2,FALSE),"")</f>
        <v>45717</v>
      </c>
      <c r="Q77" s="90">
        <f>IFERROR(VLOOKUP(O77,'[1]Campaign Metadata'!A:C,3,FALSE),"")</f>
        <v>45747</v>
      </c>
      <c r="R77" s="94" t="str">
        <f t="shared" si="3"/>
        <v>Before</v>
      </c>
    </row>
    <row r="78" spans="1:18" ht="15.75" customHeight="1" thickTop="1" thickBot="1">
      <c r="A78" s="23" t="s">
        <v>107</v>
      </c>
      <c r="B78" s="11" t="s">
        <v>22</v>
      </c>
      <c r="C78" s="10">
        <v>45805</v>
      </c>
      <c r="D78" s="11" t="s">
        <v>14</v>
      </c>
      <c r="E78" s="9" t="s">
        <v>347</v>
      </c>
      <c r="F78" s="12">
        <v>2418</v>
      </c>
      <c r="G78" s="12">
        <v>161</v>
      </c>
      <c r="H78" s="12">
        <v>360</v>
      </c>
      <c r="I78" s="12">
        <v>30589</v>
      </c>
      <c r="J78" s="4">
        <f t="shared" si="2"/>
        <v>2939</v>
      </c>
      <c r="K78" s="12">
        <v>41383</v>
      </c>
      <c r="L78" s="12">
        <v>88</v>
      </c>
      <c r="M78" s="9" t="s">
        <v>34</v>
      </c>
      <c r="N78" s="9"/>
      <c r="O78" s="9" t="s">
        <v>16</v>
      </c>
      <c r="P78" s="89">
        <f>IFERROR(VLOOKUP(O78,'[1]Campaign Metadata'!A:C,2,FALSE),"")</f>
        <v>45667</v>
      </c>
      <c r="Q78" s="90">
        <f>IFERROR(VLOOKUP(O78,'[1]Campaign Metadata'!A:C,3,FALSE),"")</f>
        <v>45698</v>
      </c>
      <c r="R78" s="94" t="str">
        <f t="shared" si="3"/>
        <v>After</v>
      </c>
    </row>
    <row r="79" spans="1:18" ht="15.75" customHeight="1" thickTop="1" thickBot="1">
      <c r="A79" s="22" t="s">
        <v>108</v>
      </c>
      <c r="B79" s="7" t="s">
        <v>22</v>
      </c>
      <c r="C79" s="6">
        <v>45678</v>
      </c>
      <c r="D79" s="7" t="s">
        <v>23</v>
      </c>
      <c r="E79" s="5" t="s">
        <v>15</v>
      </c>
      <c r="F79" s="8">
        <v>2494</v>
      </c>
      <c r="G79" s="8">
        <v>494</v>
      </c>
      <c r="H79" s="8">
        <v>55</v>
      </c>
      <c r="I79" s="8">
        <v>22580</v>
      </c>
      <c r="J79" s="4">
        <f t="shared" si="2"/>
        <v>3043</v>
      </c>
      <c r="K79" s="8">
        <v>22214</v>
      </c>
      <c r="L79" s="8">
        <v>109</v>
      </c>
      <c r="M79" s="5" t="s">
        <v>341</v>
      </c>
      <c r="N79" s="5" t="s">
        <v>34</v>
      </c>
      <c r="O79" s="5" t="s">
        <v>16</v>
      </c>
      <c r="P79" s="89">
        <f>IFERROR(VLOOKUP(O79,'[1]Campaign Metadata'!A:C,2,FALSE),"")</f>
        <v>45667</v>
      </c>
      <c r="Q79" s="90">
        <f>IFERROR(VLOOKUP(O79,'[1]Campaign Metadata'!A:C,3,FALSE),"")</f>
        <v>45698</v>
      </c>
      <c r="R79" s="94" t="str">
        <f t="shared" si="3"/>
        <v>During</v>
      </c>
    </row>
    <row r="80" spans="1:18" ht="15.75" customHeight="1" thickTop="1" thickBot="1">
      <c r="A80" s="23" t="s">
        <v>109</v>
      </c>
      <c r="B80" s="11" t="s">
        <v>27</v>
      </c>
      <c r="C80" s="10">
        <v>45304</v>
      </c>
      <c r="D80" s="11" t="s">
        <v>48</v>
      </c>
      <c r="E80" s="9" t="s">
        <v>24</v>
      </c>
      <c r="F80" s="12">
        <v>4781</v>
      </c>
      <c r="G80" s="12">
        <v>191</v>
      </c>
      <c r="H80" s="12">
        <v>122</v>
      </c>
      <c r="I80" s="12">
        <v>35535</v>
      </c>
      <c r="J80" s="4">
        <f t="shared" si="2"/>
        <v>5094</v>
      </c>
      <c r="K80" s="12">
        <v>50777</v>
      </c>
      <c r="L80" s="12">
        <v>128</v>
      </c>
      <c r="M80" s="9" t="s">
        <v>19</v>
      </c>
      <c r="N80" s="9" t="s">
        <v>37</v>
      </c>
      <c r="O80" s="9" t="s">
        <v>49</v>
      </c>
      <c r="P80" s="89">
        <f>IFERROR(VLOOKUP(O80,'[1]Campaign Metadata'!A:C,2,FALSE),"")</f>
        <v>45458</v>
      </c>
      <c r="Q80" s="90">
        <f>IFERROR(VLOOKUP(O80,'[1]Campaign Metadata'!A:C,3,FALSE),"")</f>
        <v>45488</v>
      </c>
      <c r="R80" s="94" t="str">
        <f t="shared" si="3"/>
        <v>Before</v>
      </c>
    </row>
    <row r="81" spans="1:18" ht="15.75" customHeight="1" thickTop="1" thickBot="1">
      <c r="A81" s="22" t="s">
        <v>110</v>
      </c>
      <c r="B81" s="7" t="s">
        <v>13</v>
      </c>
      <c r="C81" s="6">
        <v>45825</v>
      </c>
      <c r="D81" s="7" t="s">
        <v>14</v>
      </c>
      <c r="E81" s="5" t="s">
        <v>345</v>
      </c>
      <c r="F81" s="8">
        <v>2284</v>
      </c>
      <c r="G81" s="8">
        <v>187</v>
      </c>
      <c r="H81" s="8">
        <v>260</v>
      </c>
      <c r="I81" s="8">
        <v>37400</v>
      </c>
      <c r="J81" s="4">
        <f t="shared" si="2"/>
        <v>2731</v>
      </c>
      <c r="K81" s="8">
        <v>65014</v>
      </c>
      <c r="L81" s="8">
        <v>157</v>
      </c>
      <c r="M81" s="5" t="s">
        <v>37</v>
      </c>
      <c r="N81" s="5" t="s">
        <v>34</v>
      </c>
      <c r="O81" s="5" t="s">
        <v>16</v>
      </c>
      <c r="P81" s="89">
        <f>IFERROR(VLOOKUP(O81,'[1]Campaign Metadata'!A:C,2,FALSE),"")</f>
        <v>45667</v>
      </c>
      <c r="Q81" s="90">
        <f>IFERROR(VLOOKUP(O81,'[1]Campaign Metadata'!A:C,3,FALSE),"")</f>
        <v>45698</v>
      </c>
      <c r="R81" s="94" t="str">
        <f t="shared" si="3"/>
        <v>After</v>
      </c>
    </row>
    <row r="82" spans="1:18" ht="15.75" customHeight="1" thickTop="1" thickBot="1">
      <c r="A82" s="23" t="s">
        <v>111</v>
      </c>
      <c r="B82" s="11" t="s">
        <v>22</v>
      </c>
      <c r="C82" s="10">
        <v>45723</v>
      </c>
      <c r="D82" s="11" t="s">
        <v>14</v>
      </c>
      <c r="E82" s="9" t="s">
        <v>30</v>
      </c>
      <c r="F82" s="12">
        <v>4234</v>
      </c>
      <c r="G82" s="12">
        <v>486</v>
      </c>
      <c r="H82" s="12">
        <v>276</v>
      </c>
      <c r="I82" s="12">
        <v>56623</v>
      </c>
      <c r="J82" s="4">
        <f t="shared" si="2"/>
        <v>4996</v>
      </c>
      <c r="K82" s="12">
        <v>41343</v>
      </c>
      <c r="L82" s="12">
        <v>184</v>
      </c>
      <c r="M82" s="9" t="s">
        <v>37</v>
      </c>
      <c r="N82" s="9"/>
      <c r="O82" s="9" t="s">
        <v>20</v>
      </c>
      <c r="P82" s="89">
        <f>IFERROR(VLOOKUP(O82,'[1]Campaign Metadata'!A:C,2,FALSE),"")</f>
        <v>45717</v>
      </c>
      <c r="Q82" s="90">
        <f>IFERROR(VLOOKUP(O82,'[1]Campaign Metadata'!A:C,3,FALSE),"")</f>
        <v>45747</v>
      </c>
      <c r="R82" s="94" t="str">
        <f t="shared" si="3"/>
        <v>During</v>
      </c>
    </row>
    <row r="83" spans="1:18" ht="15.75" customHeight="1" thickTop="1" thickBot="1">
      <c r="A83" s="22" t="s">
        <v>112</v>
      </c>
      <c r="B83" s="7" t="s">
        <v>13</v>
      </c>
      <c r="C83" s="6">
        <v>45530</v>
      </c>
      <c r="D83" s="7" t="s">
        <v>14</v>
      </c>
      <c r="E83" s="5" t="s">
        <v>42</v>
      </c>
      <c r="F83" s="8">
        <v>2102</v>
      </c>
      <c r="G83" s="8">
        <v>181</v>
      </c>
      <c r="H83" s="8">
        <v>306</v>
      </c>
      <c r="I83" s="8">
        <v>43650</v>
      </c>
      <c r="J83" s="4">
        <f t="shared" si="2"/>
        <v>2589</v>
      </c>
      <c r="K83" s="8">
        <v>50079</v>
      </c>
      <c r="L83" s="8">
        <v>182</v>
      </c>
      <c r="M83" s="5" t="s">
        <v>19</v>
      </c>
      <c r="N83" s="5"/>
      <c r="O83" s="5" t="s">
        <v>20</v>
      </c>
      <c r="P83" s="89">
        <f>IFERROR(VLOOKUP(O83,'[1]Campaign Metadata'!A:C,2,FALSE),"")</f>
        <v>45717</v>
      </c>
      <c r="Q83" s="90">
        <f>IFERROR(VLOOKUP(O83,'[1]Campaign Metadata'!A:C,3,FALSE),"")</f>
        <v>45747</v>
      </c>
      <c r="R83" s="94" t="str">
        <f t="shared" si="3"/>
        <v>Before</v>
      </c>
    </row>
    <row r="84" spans="1:18" ht="15.75" customHeight="1" thickTop="1" thickBot="1">
      <c r="A84" s="23" t="s">
        <v>113</v>
      </c>
      <c r="B84" s="11" t="s">
        <v>22</v>
      </c>
      <c r="C84" s="10">
        <v>45660</v>
      </c>
      <c r="D84" s="11" t="s">
        <v>23</v>
      </c>
      <c r="E84" s="9" t="s">
        <v>30</v>
      </c>
      <c r="F84" s="12">
        <v>4845</v>
      </c>
      <c r="G84" s="12">
        <v>158</v>
      </c>
      <c r="H84" s="12">
        <v>84</v>
      </c>
      <c r="I84" s="12">
        <v>34578</v>
      </c>
      <c r="J84" s="4">
        <f t="shared" si="2"/>
        <v>5087</v>
      </c>
      <c r="K84" s="12">
        <v>51480</v>
      </c>
      <c r="L84" s="12">
        <v>180</v>
      </c>
      <c r="M84" s="9" t="s">
        <v>37</v>
      </c>
      <c r="N84" s="9" t="s">
        <v>34</v>
      </c>
      <c r="O84" s="9" t="s">
        <v>16</v>
      </c>
      <c r="P84" s="89">
        <f>IFERROR(VLOOKUP(O84,'[1]Campaign Metadata'!A:C,2,FALSE),"")</f>
        <v>45667</v>
      </c>
      <c r="Q84" s="90">
        <f>IFERROR(VLOOKUP(O84,'[1]Campaign Metadata'!A:C,3,FALSE),"")</f>
        <v>45698</v>
      </c>
      <c r="R84" s="94" t="str">
        <f t="shared" si="3"/>
        <v>Before</v>
      </c>
    </row>
    <row r="85" spans="1:18" ht="15.75" customHeight="1" thickTop="1" thickBot="1">
      <c r="A85" s="22" t="s">
        <v>114</v>
      </c>
      <c r="B85" s="7" t="s">
        <v>22</v>
      </c>
      <c r="C85" s="6">
        <v>45507</v>
      </c>
      <c r="D85" s="7" t="s">
        <v>14</v>
      </c>
      <c r="E85" s="5" t="s">
        <v>42</v>
      </c>
      <c r="F85" s="8">
        <v>4247</v>
      </c>
      <c r="G85" s="8">
        <v>390</v>
      </c>
      <c r="H85" s="8">
        <v>213</v>
      </c>
      <c r="I85" s="8">
        <v>29785</v>
      </c>
      <c r="J85" s="4">
        <f t="shared" si="2"/>
        <v>4850</v>
      </c>
      <c r="K85" s="8">
        <v>57768</v>
      </c>
      <c r="L85" s="8">
        <v>122</v>
      </c>
      <c r="M85" s="5" t="s">
        <v>34</v>
      </c>
      <c r="N85" s="5"/>
      <c r="O85" s="5" t="s">
        <v>16</v>
      </c>
      <c r="P85" s="89">
        <f>IFERROR(VLOOKUP(O85,'[1]Campaign Metadata'!A:C,2,FALSE),"")</f>
        <v>45667</v>
      </c>
      <c r="Q85" s="90">
        <f>IFERROR(VLOOKUP(O85,'[1]Campaign Metadata'!A:C,3,FALSE),"")</f>
        <v>45698</v>
      </c>
      <c r="R85" s="94" t="str">
        <f t="shared" si="3"/>
        <v>Before</v>
      </c>
    </row>
    <row r="86" spans="1:18" ht="15.75" customHeight="1" thickTop="1" thickBot="1">
      <c r="A86" s="23" t="s">
        <v>115</v>
      </c>
      <c r="B86" s="11" t="s">
        <v>13</v>
      </c>
      <c r="C86" s="10">
        <v>45522</v>
      </c>
      <c r="D86" s="11" t="s">
        <v>14</v>
      </c>
      <c r="E86" s="9" t="s">
        <v>18</v>
      </c>
      <c r="F86" s="12">
        <v>2965</v>
      </c>
      <c r="G86" s="12">
        <v>328</v>
      </c>
      <c r="H86" s="12">
        <v>171</v>
      </c>
      <c r="I86" s="12">
        <v>57685</v>
      </c>
      <c r="J86" s="4">
        <f t="shared" si="2"/>
        <v>3464</v>
      </c>
      <c r="K86" s="12">
        <v>67536</v>
      </c>
      <c r="L86" s="12">
        <v>264</v>
      </c>
      <c r="M86" s="9" t="s">
        <v>37</v>
      </c>
      <c r="N86" s="9" t="s">
        <v>34</v>
      </c>
      <c r="O86" s="9" t="s">
        <v>16</v>
      </c>
      <c r="P86" s="89">
        <f>IFERROR(VLOOKUP(O86,'[1]Campaign Metadata'!A:C,2,FALSE),"")</f>
        <v>45667</v>
      </c>
      <c r="Q86" s="90">
        <f>IFERROR(VLOOKUP(O86,'[1]Campaign Metadata'!A:C,3,FALSE),"")</f>
        <v>45698</v>
      </c>
      <c r="R86" s="94" t="str">
        <f t="shared" si="3"/>
        <v>Before</v>
      </c>
    </row>
    <row r="87" spans="1:18" ht="15.75" customHeight="1" thickTop="1" thickBot="1">
      <c r="A87" s="22" t="s">
        <v>116</v>
      </c>
      <c r="B87" s="7" t="s">
        <v>22</v>
      </c>
      <c r="C87" s="6">
        <v>45791</v>
      </c>
      <c r="D87" s="7" t="s">
        <v>23</v>
      </c>
      <c r="E87" s="5" t="s">
        <v>344</v>
      </c>
      <c r="F87" s="8">
        <v>1371</v>
      </c>
      <c r="G87" s="8">
        <v>139</v>
      </c>
      <c r="H87" s="8">
        <v>96</v>
      </c>
      <c r="I87" s="8">
        <v>36140</v>
      </c>
      <c r="J87" s="4">
        <f t="shared" si="2"/>
        <v>1606</v>
      </c>
      <c r="K87" s="8">
        <v>39395</v>
      </c>
      <c r="L87" s="8">
        <v>169</v>
      </c>
      <c r="M87" s="5" t="s">
        <v>37</v>
      </c>
      <c r="N87" s="5" t="s">
        <v>34</v>
      </c>
      <c r="O87" s="5" t="s">
        <v>16</v>
      </c>
      <c r="P87" s="89">
        <f>IFERROR(VLOOKUP(O87,'[1]Campaign Metadata'!A:C,2,FALSE),"")</f>
        <v>45667</v>
      </c>
      <c r="Q87" s="90">
        <f>IFERROR(VLOOKUP(O87,'[1]Campaign Metadata'!A:C,3,FALSE),"")</f>
        <v>45698</v>
      </c>
      <c r="R87" s="94" t="str">
        <f t="shared" si="3"/>
        <v>After</v>
      </c>
    </row>
    <row r="88" spans="1:18" ht="15.75" customHeight="1" thickTop="1" thickBot="1">
      <c r="A88" s="23" t="s">
        <v>117</v>
      </c>
      <c r="B88" s="11" t="s">
        <v>22</v>
      </c>
      <c r="C88" s="10">
        <v>45405</v>
      </c>
      <c r="D88" s="11" t="s">
        <v>23</v>
      </c>
      <c r="E88" s="9" t="s">
        <v>15</v>
      </c>
      <c r="F88" s="12">
        <v>2683</v>
      </c>
      <c r="G88" s="12">
        <v>496</v>
      </c>
      <c r="H88" s="12">
        <v>89</v>
      </c>
      <c r="I88" s="12">
        <v>53435</v>
      </c>
      <c r="J88" s="4">
        <f t="shared" si="2"/>
        <v>3268</v>
      </c>
      <c r="K88" s="12">
        <v>30334</v>
      </c>
      <c r="L88" s="12">
        <v>160</v>
      </c>
      <c r="M88" s="9" t="s">
        <v>37</v>
      </c>
      <c r="N88" s="9" t="s">
        <v>34</v>
      </c>
      <c r="O88" s="9" t="s">
        <v>16</v>
      </c>
      <c r="P88" s="89">
        <f>IFERROR(VLOOKUP(O88,'[1]Campaign Metadata'!A:C,2,FALSE),"")</f>
        <v>45667</v>
      </c>
      <c r="Q88" s="90">
        <f>IFERROR(VLOOKUP(O88,'[1]Campaign Metadata'!A:C,3,FALSE),"")</f>
        <v>45698</v>
      </c>
      <c r="R88" s="94" t="str">
        <f t="shared" si="3"/>
        <v>Before</v>
      </c>
    </row>
    <row r="89" spans="1:18" ht="15.75" customHeight="1" thickTop="1" thickBot="1">
      <c r="A89" s="22" t="s">
        <v>118</v>
      </c>
      <c r="B89" s="7" t="s">
        <v>22</v>
      </c>
      <c r="C89" s="6">
        <v>45705</v>
      </c>
      <c r="D89" s="7" t="s">
        <v>23</v>
      </c>
      <c r="E89" s="5" t="s">
        <v>346</v>
      </c>
      <c r="F89" s="8">
        <v>4796</v>
      </c>
      <c r="G89" s="8">
        <v>427</v>
      </c>
      <c r="H89" s="8">
        <v>339</v>
      </c>
      <c r="I89" s="8">
        <v>30752</v>
      </c>
      <c r="J89" s="4">
        <f t="shared" si="2"/>
        <v>5562</v>
      </c>
      <c r="K89" s="8">
        <v>33870</v>
      </c>
      <c r="L89" s="8">
        <v>298</v>
      </c>
      <c r="M89" s="5" t="s">
        <v>37</v>
      </c>
      <c r="N89" s="5" t="s">
        <v>34</v>
      </c>
      <c r="O89" s="5" t="s">
        <v>16</v>
      </c>
      <c r="P89" s="89">
        <f>IFERROR(VLOOKUP(O89,'[1]Campaign Metadata'!A:C,2,FALSE),"")</f>
        <v>45667</v>
      </c>
      <c r="Q89" s="90">
        <f>IFERROR(VLOOKUP(O89,'[1]Campaign Metadata'!A:C,3,FALSE),"")</f>
        <v>45698</v>
      </c>
      <c r="R89" s="94" t="str">
        <f t="shared" si="3"/>
        <v>After</v>
      </c>
    </row>
    <row r="90" spans="1:18" ht="15.75" customHeight="1" thickTop="1" thickBot="1">
      <c r="A90" s="23" t="s">
        <v>119</v>
      </c>
      <c r="B90" s="11" t="s">
        <v>13</v>
      </c>
      <c r="C90" s="10">
        <v>45630</v>
      </c>
      <c r="D90" s="11" t="s">
        <v>14</v>
      </c>
      <c r="E90" s="9" t="s">
        <v>344</v>
      </c>
      <c r="F90" s="12">
        <v>2601</v>
      </c>
      <c r="G90" s="12">
        <v>336</v>
      </c>
      <c r="H90" s="12">
        <v>260</v>
      </c>
      <c r="I90" s="12">
        <v>32368</v>
      </c>
      <c r="J90" s="4">
        <f t="shared" si="2"/>
        <v>3197</v>
      </c>
      <c r="K90" s="12">
        <v>49028</v>
      </c>
      <c r="L90" s="12">
        <v>120</v>
      </c>
      <c r="M90" s="9" t="s">
        <v>37</v>
      </c>
      <c r="N90" s="9" t="s">
        <v>34</v>
      </c>
      <c r="O90" s="9" t="s">
        <v>16</v>
      </c>
      <c r="P90" s="89">
        <f>IFERROR(VLOOKUP(O90,'[1]Campaign Metadata'!A:C,2,FALSE),"")</f>
        <v>45667</v>
      </c>
      <c r="Q90" s="90">
        <f>IFERROR(VLOOKUP(O90,'[1]Campaign Metadata'!A:C,3,FALSE),"")</f>
        <v>45698</v>
      </c>
      <c r="R90" s="94" t="str">
        <f t="shared" si="3"/>
        <v>Before</v>
      </c>
    </row>
    <row r="91" spans="1:18" ht="15.75" customHeight="1" thickTop="1" thickBot="1">
      <c r="A91" s="22" t="s">
        <v>120</v>
      </c>
      <c r="B91" s="7" t="s">
        <v>22</v>
      </c>
      <c r="C91" s="6">
        <v>45495</v>
      </c>
      <c r="D91" s="7" t="s">
        <v>23</v>
      </c>
      <c r="E91" s="5" t="s">
        <v>344</v>
      </c>
      <c r="F91" s="8">
        <v>3336</v>
      </c>
      <c r="G91" s="8">
        <v>229</v>
      </c>
      <c r="H91" s="8">
        <v>337</v>
      </c>
      <c r="I91" s="8">
        <v>22117</v>
      </c>
      <c r="J91" s="4">
        <f t="shared" si="2"/>
        <v>3902</v>
      </c>
      <c r="K91" s="8">
        <v>26205</v>
      </c>
      <c r="L91" s="8">
        <v>160</v>
      </c>
      <c r="M91" s="5" t="s">
        <v>341</v>
      </c>
      <c r="N91" s="5" t="s">
        <v>34</v>
      </c>
      <c r="O91" s="5" t="s">
        <v>16</v>
      </c>
      <c r="P91" s="89">
        <f>IFERROR(VLOOKUP(O91,'[1]Campaign Metadata'!A:C,2,FALSE),"")</f>
        <v>45667</v>
      </c>
      <c r="Q91" s="90">
        <f>IFERROR(VLOOKUP(O91,'[1]Campaign Metadata'!A:C,3,FALSE),"")</f>
        <v>45698</v>
      </c>
      <c r="R91" s="94" t="str">
        <f t="shared" si="3"/>
        <v>Before</v>
      </c>
    </row>
    <row r="92" spans="1:18" ht="15.75" customHeight="1" thickTop="1" thickBot="1">
      <c r="A92" s="23" t="s">
        <v>121</v>
      </c>
      <c r="B92" s="11" t="s">
        <v>22</v>
      </c>
      <c r="C92" s="10">
        <v>45774</v>
      </c>
      <c r="D92" s="11" t="s">
        <v>14</v>
      </c>
      <c r="E92" s="9" t="s">
        <v>18</v>
      </c>
      <c r="F92" s="12">
        <v>1165</v>
      </c>
      <c r="G92" s="12">
        <v>294</v>
      </c>
      <c r="H92" s="12">
        <v>163</v>
      </c>
      <c r="I92" s="12">
        <v>20659</v>
      </c>
      <c r="J92" s="4">
        <f t="shared" si="2"/>
        <v>1622</v>
      </c>
      <c r="K92" s="12">
        <v>45926</v>
      </c>
      <c r="L92" s="12">
        <v>111</v>
      </c>
      <c r="M92" s="9" t="s">
        <v>37</v>
      </c>
      <c r="N92" s="9"/>
      <c r="O92" s="9" t="s">
        <v>20</v>
      </c>
      <c r="P92" s="89">
        <f>IFERROR(VLOOKUP(O92,'[1]Campaign Metadata'!A:C,2,FALSE),"")</f>
        <v>45717</v>
      </c>
      <c r="Q92" s="90">
        <f>IFERROR(VLOOKUP(O92,'[1]Campaign Metadata'!A:C,3,FALSE),"")</f>
        <v>45747</v>
      </c>
      <c r="R92" s="94" t="str">
        <f t="shared" si="3"/>
        <v>After</v>
      </c>
    </row>
    <row r="93" spans="1:18" ht="15.75" customHeight="1" thickTop="1" thickBot="1">
      <c r="A93" s="22" t="s">
        <v>122</v>
      </c>
      <c r="B93" s="7" t="s">
        <v>27</v>
      </c>
      <c r="C93" s="6">
        <v>45376</v>
      </c>
      <c r="D93" s="7" t="s">
        <v>48</v>
      </c>
      <c r="E93" s="5" t="s">
        <v>18</v>
      </c>
      <c r="F93" s="8">
        <v>1948</v>
      </c>
      <c r="G93" s="8">
        <v>155</v>
      </c>
      <c r="H93" s="8">
        <v>315</v>
      </c>
      <c r="I93" s="8">
        <v>30321</v>
      </c>
      <c r="J93" s="4">
        <f t="shared" si="2"/>
        <v>2418</v>
      </c>
      <c r="K93" s="8">
        <v>57121</v>
      </c>
      <c r="L93" s="8">
        <v>82</v>
      </c>
      <c r="M93" s="5" t="s">
        <v>19</v>
      </c>
      <c r="N93" s="5" t="s">
        <v>37</v>
      </c>
      <c r="O93" s="5" t="s">
        <v>49</v>
      </c>
      <c r="P93" s="89">
        <f>IFERROR(VLOOKUP(O93,'[1]Campaign Metadata'!A:C,2,FALSE),"")</f>
        <v>45458</v>
      </c>
      <c r="Q93" s="90">
        <f>IFERROR(VLOOKUP(O93,'[1]Campaign Metadata'!A:C,3,FALSE),"")</f>
        <v>45488</v>
      </c>
      <c r="R93" s="94" t="str">
        <f t="shared" si="3"/>
        <v>Before</v>
      </c>
    </row>
    <row r="94" spans="1:18" ht="15.75" customHeight="1" thickTop="1" thickBot="1">
      <c r="A94" s="23" t="s">
        <v>123</v>
      </c>
      <c r="B94" s="11" t="s">
        <v>13</v>
      </c>
      <c r="C94" s="10">
        <v>45351</v>
      </c>
      <c r="D94" s="11" t="s">
        <v>14</v>
      </c>
      <c r="E94" s="9" t="s">
        <v>347</v>
      </c>
      <c r="F94" s="12">
        <v>1100</v>
      </c>
      <c r="G94" s="12">
        <v>229</v>
      </c>
      <c r="H94" s="12">
        <v>312</v>
      </c>
      <c r="I94" s="12">
        <v>25641</v>
      </c>
      <c r="J94" s="4">
        <f t="shared" si="2"/>
        <v>1641</v>
      </c>
      <c r="K94" s="12">
        <v>34601</v>
      </c>
      <c r="L94" s="12">
        <v>169</v>
      </c>
      <c r="M94" s="9" t="s">
        <v>19</v>
      </c>
      <c r="N94" s="9"/>
      <c r="O94" s="9" t="s">
        <v>20</v>
      </c>
      <c r="P94" s="89">
        <f>IFERROR(VLOOKUP(O94,'[1]Campaign Metadata'!A:C,2,FALSE),"")</f>
        <v>45717</v>
      </c>
      <c r="Q94" s="90">
        <f>IFERROR(VLOOKUP(O94,'[1]Campaign Metadata'!A:C,3,FALSE),"")</f>
        <v>45747</v>
      </c>
      <c r="R94" s="94" t="str">
        <f t="shared" si="3"/>
        <v>Before</v>
      </c>
    </row>
    <row r="95" spans="1:18" ht="15.75" customHeight="1" thickTop="1" thickBot="1">
      <c r="A95" s="22" t="s">
        <v>124</v>
      </c>
      <c r="B95" s="7" t="s">
        <v>22</v>
      </c>
      <c r="C95" s="6">
        <v>45609</v>
      </c>
      <c r="D95" s="7" t="s">
        <v>23</v>
      </c>
      <c r="E95" s="5" t="s">
        <v>33</v>
      </c>
      <c r="F95" s="8">
        <v>4628</v>
      </c>
      <c r="G95" s="8">
        <v>257</v>
      </c>
      <c r="H95" s="8">
        <v>397</v>
      </c>
      <c r="I95" s="8">
        <v>36686</v>
      </c>
      <c r="J95" s="4">
        <f t="shared" si="2"/>
        <v>5282</v>
      </c>
      <c r="K95" s="8">
        <v>54683</v>
      </c>
      <c r="L95" s="8">
        <v>98</v>
      </c>
      <c r="M95" s="5" t="s">
        <v>37</v>
      </c>
      <c r="N95" s="5" t="s">
        <v>34</v>
      </c>
      <c r="O95" s="5" t="s">
        <v>16</v>
      </c>
      <c r="P95" s="89">
        <f>IFERROR(VLOOKUP(O95,'[1]Campaign Metadata'!A:C,2,FALSE),"")</f>
        <v>45667</v>
      </c>
      <c r="Q95" s="90">
        <f>IFERROR(VLOOKUP(O95,'[1]Campaign Metadata'!A:C,3,FALSE),"")</f>
        <v>45698</v>
      </c>
      <c r="R95" s="94" t="str">
        <f t="shared" si="3"/>
        <v>Before</v>
      </c>
    </row>
    <row r="96" spans="1:18" ht="15.75" customHeight="1" thickTop="1" thickBot="1">
      <c r="A96" s="23" t="s">
        <v>125</v>
      </c>
      <c r="B96" s="11" t="s">
        <v>13</v>
      </c>
      <c r="C96" s="10">
        <v>45373</v>
      </c>
      <c r="D96" s="11" t="s">
        <v>23</v>
      </c>
      <c r="E96" s="9" t="s">
        <v>15</v>
      </c>
      <c r="F96" s="12">
        <v>2319</v>
      </c>
      <c r="G96" s="12">
        <v>484</v>
      </c>
      <c r="H96" s="12">
        <v>193</v>
      </c>
      <c r="I96" s="12">
        <v>21202</v>
      </c>
      <c r="J96" s="4">
        <f t="shared" si="2"/>
        <v>2996</v>
      </c>
      <c r="K96" s="12">
        <v>18091</v>
      </c>
      <c r="L96" s="12">
        <v>241</v>
      </c>
      <c r="M96" s="9" t="s">
        <v>34</v>
      </c>
      <c r="N96" s="9"/>
      <c r="O96" s="9" t="s">
        <v>46</v>
      </c>
      <c r="P96" s="89">
        <f>IFERROR(VLOOKUP(O96,'[1]Campaign Metadata'!A:C,2,FALSE),"")</f>
        <v>45627</v>
      </c>
      <c r="Q96" s="90">
        <f>IFERROR(VLOOKUP(O96,'[1]Campaign Metadata'!A:C,3,FALSE),"")</f>
        <v>45657</v>
      </c>
      <c r="R96" s="94" t="str">
        <f t="shared" si="3"/>
        <v>Before</v>
      </c>
    </row>
    <row r="97" spans="1:18" ht="15.75" customHeight="1" thickTop="1" thickBot="1">
      <c r="A97" s="22" t="s">
        <v>126</v>
      </c>
      <c r="B97" s="7" t="s">
        <v>22</v>
      </c>
      <c r="C97" s="6">
        <v>45367</v>
      </c>
      <c r="D97" s="7" t="s">
        <v>23</v>
      </c>
      <c r="E97" s="5" t="s">
        <v>344</v>
      </c>
      <c r="F97" s="8">
        <v>2895</v>
      </c>
      <c r="G97" s="8">
        <v>292</v>
      </c>
      <c r="H97" s="8">
        <v>90</v>
      </c>
      <c r="I97" s="8">
        <v>24223</v>
      </c>
      <c r="J97" s="4">
        <f t="shared" si="2"/>
        <v>3277</v>
      </c>
      <c r="K97" s="8">
        <v>54626</v>
      </c>
      <c r="L97" s="8">
        <v>114</v>
      </c>
      <c r="M97" s="5" t="s">
        <v>37</v>
      </c>
      <c r="N97" s="5" t="s">
        <v>34</v>
      </c>
      <c r="O97" s="5" t="s">
        <v>16</v>
      </c>
      <c r="P97" s="89">
        <f>IFERROR(VLOOKUP(O97,'[1]Campaign Metadata'!A:C,2,FALSE),"")</f>
        <v>45667</v>
      </c>
      <c r="Q97" s="90">
        <f>IFERROR(VLOOKUP(O97,'[1]Campaign Metadata'!A:C,3,FALSE),"")</f>
        <v>45698</v>
      </c>
      <c r="R97" s="94" t="str">
        <f t="shared" si="3"/>
        <v>Before</v>
      </c>
    </row>
    <row r="98" spans="1:18" ht="15.75" customHeight="1" thickTop="1" thickBot="1">
      <c r="A98" s="23" t="s">
        <v>127</v>
      </c>
      <c r="B98" s="11" t="s">
        <v>13</v>
      </c>
      <c r="C98" s="10">
        <v>45317</v>
      </c>
      <c r="D98" s="11" t="s">
        <v>14</v>
      </c>
      <c r="E98" s="9" t="s">
        <v>346</v>
      </c>
      <c r="F98" s="12">
        <v>3878</v>
      </c>
      <c r="G98" s="12">
        <v>431</v>
      </c>
      <c r="H98" s="12">
        <v>97</v>
      </c>
      <c r="I98" s="12">
        <v>41763</v>
      </c>
      <c r="J98" s="4">
        <f t="shared" si="2"/>
        <v>4406</v>
      </c>
      <c r="K98" s="12">
        <v>29729</v>
      </c>
      <c r="L98" s="12">
        <v>191</v>
      </c>
      <c r="M98" s="9" t="s">
        <v>19</v>
      </c>
      <c r="N98" s="9"/>
      <c r="O98" s="9" t="s">
        <v>20</v>
      </c>
      <c r="P98" s="89">
        <f>IFERROR(VLOOKUP(O98,'[1]Campaign Metadata'!A:C,2,FALSE),"")</f>
        <v>45717</v>
      </c>
      <c r="Q98" s="90">
        <f>IFERROR(VLOOKUP(O98,'[1]Campaign Metadata'!A:C,3,FALSE),"")</f>
        <v>45747</v>
      </c>
      <c r="R98" s="94" t="str">
        <f t="shared" si="3"/>
        <v>Before</v>
      </c>
    </row>
    <row r="99" spans="1:18" ht="15.75" customHeight="1" thickTop="1" thickBot="1">
      <c r="A99" s="22" t="s">
        <v>128</v>
      </c>
      <c r="B99" s="7" t="s">
        <v>22</v>
      </c>
      <c r="C99" s="6">
        <v>45366</v>
      </c>
      <c r="D99" s="7" t="s">
        <v>23</v>
      </c>
      <c r="E99" s="5" t="s">
        <v>30</v>
      </c>
      <c r="F99" s="8">
        <v>4969</v>
      </c>
      <c r="G99" s="8">
        <v>433</v>
      </c>
      <c r="H99" s="8">
        <v>237</v>
      </c>
      <c r="I99" s="8">
        <v>59552</v>
      </c>
      <c r="J99" s="4">
        <f t="shared" si="2"/>
        <v>5639</v>
      </c>
      <c r="K99" s="8">
        <v>23885</v>
      </c>
      <c r="L99" s="8">
        <v>157</v>
      </c>
      <c r="M99" s="5" t="s">
        <v>19</v>
      </c>
      <c r="N99" s="5" t="s">
        <v>341</v>
      </c>
      <c r="O99" s="5" t="s">
        <v>16</v>
      </c>
      <c r="P99" s="89">
        <f>IFERROR(VLOOKUP(O99,'[1]Campaign Metadata'!A:C,2,FALSE),"")</f>
        <v>45667</v>
      </c>
      <c r="Q99" s="90">
        <f>IFERROR(VLOOKUP(O99,'[1]Campaign Metadata'!A:C,3,FALSE),"")</f>
        <v>45698</v>
      </c>
      <c r="R99" s="94" t="str">
        <f t="shared" si="3"/>
        <v>Before</v>
      </c>
    </row>
    <row r="100" spans="1:18" ht="15.75" customHeight="1" thickTop="1" thickBot="1">
      <c r="A100" s="23" t="s">
        <v>129</v>
      </c>
      <c r="B100" s="11" t="s">
        <v>22</v>
      </c>
      <c r="C100" s="10">
        <v>45580</v>
      </c>
      <c r="D100" s="11" t="s">
        <v>14</v>
      </c>
      <c r="E100" s="9" t="s">
        <v>344</v>
      </c>
      <c r="F100" s="12">
        <v>1984</v>
      </c>
      <c r="G100" s="12">
        <v>481</v>
      </c>
      <c r="H100" s="12">
        <v>356</v>
      </c>
      <c r="I100" s="12">
        <v>40681</v>
      </c>
      <c r="J100" s="4">
        <f t="shared" si="2"/>
        <v>2821</v>
      </c>
      <c r="K100" s="12">
        <v>63111</v>
      </c>
      <c r="L100" s="12">
        <v>258</v>
      </c>
      <c r="M100" s="9" t="s">
        <v>34</v>
      </c>
      <c r="N100" s="9"/>
      <c r="O100" s="9" t="s">
        <v>16</v>
      </c>
      <c r="P100" s="89">
        <f>IFERROR(VLOOKUP(O100,'[1]Campaign Metadata'!A:C,2,FALSE),"")</f>
        <v>45667</v>
      </c>
      <c r="Q100" s="90">
        <f>IFERROR(VLOOKUP(O100,'[1]Campaign Metadata'!A:C,3,FALSE),"")</f>
        <v>45698</v>
      </c>
      <c r="R100" s="94" t="str">
        <f t="shared" si="3"/>
        <v>Before</v>
      </c>
    </row>
    <row r="101" spans="1:18" ht="15.75" customHeight="1" thickTop="1" thickBot="1">
      <c r="A101" s="22" t="s">
        <v>130</v>
      </c>
      <c r="B101" s="7" t="s">
        <v>13</v>
      </c>
      <c r="C101" s="6">
        <v>45494</v>
      </c>
      <c r="D101" s="7" t="s">
        <v>14</v>
      </c>
      <c r="E101" s="5" t="s">
        <v>15</v>
      </c>
      <c r="F101" s="8">
        <v>3004</v>
      </c>
      <c r="G101" s="8">
        <v>415</v>
      </c>
      <c r="H101" s="8">
        <v>218</v>
      </c>
      <c r="I101" s="8">
        <v>36090</v>
      </c>
      <c r="J101" s="4">
        <f t="shared" si="2"/>
        <v>3637</v>
      </c>
      <c r="K101" s="8">
        <v>37073</v>
      </c>
      <c r="L101" s="8">
        <v>181</v>
      </c>
      <c r="M101" s="5" t="s">
        <v>19</v>
      </c>
      <c r="N101" s="5"/>
      <c r="O101" s="5" t="s">
        <v>20</v>
      </c>
      <c r="P101" s="89">
        <f>IFERROR(VLOOKUP(O101,'[1]Campaign Metadata'!A:C,2,FALSE),"")</f>
        <v>45717</v>
      </c>
      <c r="Q101" s="90">
        <f>IFERROR(VLOOKUP(O101,'[1]Campaign Metadata'!A:C,3,FALSE),"")</f>
        <v>45747</v>
      </c>
      <c r="R101" s="94" t="str">
        <f t="shared" si="3"/>
        <v>Before</v>
      </c>
    </row>
    <row r="102" spans="1:18" ht="15.75" customHeight="1" thickTop="1" thickBot="1">
      <c r="A102" s="23" t="s">
        <v>131</v>
      </c>
      <c r="B102" s="11" t="s">
        <v>22</v>
      </c>
      <c r="C102" s="10">
        <v>45577</v>
      </c>
      <c r="D102" s="11" t="s">
        <v>14</v>
      </c>
      <c r="E102" s="9" t="s">
        <v>30</v>
      </c>
      <c r="F102" s="12">
        <v>3169</v>
      </c>
      <c r="G102" s="12">
        <v>386</v>
      </c>
      <c r="H102" s="12">
        <v>175</v>
      </c>
      <c r="I102" s="12">
        <v>45012</v>
      </c>
      <c r="J102" s="4">
        <f t="shared" si="2"/>
        <v>3730</v>
      </c>
      <c r="K102" s="12">
        <v>38508</v>
      </c>
      <c r="L102" s="12">
        <v>218</v>
      </c>
      <c r="M102" s="9" t="s">
        <v>34</v>
      </c>
      <c r="N102" s="9"/>
      <c r="O102" s="9" t="s">
        <v>16</v>
      </c>
      <c r="P102" s="89">
        <f>IFERROR(VLOOKUP(O102,'[1]Campaign Metadata'!A:C,2,FALSE),"")</f>
        <v>45667</v>
      </c>
      <c r="Q102" s="90">
        <f>IFERROR(VLOOKUP(O102,'[1]Campaign Metadata'!A:C,3,FALSE),"")</f>
        <v>45698</v>
      </c>
      <c r="R102" s="94" t="str">
        <f t="shared" si="3"/>
        <v>Before</v>
      </c>
    </row>
    <row r="103" spans="1:18" ht="15.75" customHeight="1" thickTop="1" thickBot="1">
      <c r="A103" s="22" t="s">
        <v>132</v>
      </c>
      <c r="B103" s="7" t="s">
        <v>22</v>
      </c>
      <c r="C103" s="6">
        <v>45591</v>
      </c>
      <c r="D103" s="7" t="s">
        <v>14</v>
      </c>
      <c r="E103" s="5" t="s">
        <v>15</v>
      </c>
      <c r="F103" s="8">
        <v>3036</v>
      </c>
      <c r="G103" s="8">
        <v>293</v>
      </c>
      <c r="H103" s="8">
        <v>115</v>
      </c>
      <c r="I103" s="8">
        <v>23776</v>
      </c>
      <c r="J103" s="4">
        <f t="shared" si="2"/>
        <v>3444</v>
      </c>
      <c r="K103" s="8">
        <v>46386</v>
      </c>
      <c r="L103" s="8">
        <v>282</v>
      </c>
      <c r="M103" s="5" t="s">
        <v>34</v>
      </c>
      <c r="N103" s="5"/>
      <c r="O103" s="5" t="s">
        <v>16</v>
      </c>
      <c r="P103" s="89">
        <f>IFERROR(VLOOKUP(O103,'[1]Campaign Metadata'!A:C,2,FALSE),"")</f>
        <v>45667</v>
      </c>
      <c r="Q103" s="90">
        <f>IFERROR(VLOOKUP(O103,'[1]Campaign Metadata'!A:C,3,FALSE),"")</f>
        <v>45698</v>
      </c>
      <c r="R103" s="94" t="str">
        <f t="shared" si="3"/>
        <v>Before</v>
      </c>
    </row>
    <row r="104" spans="1:18" ht="15.75" customHeight="1" thickTop="1" thickBot="1">
      <c r="A104" s="23" t="s">
        <v>133</v>
      </c>
      <c r="B104" s="11" t="s">
        <v>13</v>
      </c>
      <c r="C104" s="10">
        <v>45336</v>
      </c>
      <c r="D104" s="11" t="s">
        <v>14</v>
      </c>
      <c r="E104" s="9" t="s">
        <v>345</v>
      </c>
      <c r="F104" s="12">
        <v>1830</v>
      </c>
      <c r="G104" s="12">
        <v>112</v>
      </c>
      <c r="H104" s="12">
        <v>181</v>
      </c>
      <c r="I104" s="12">
        <v>31870</v>
      </c>
      <c r="J104" s="4">
        <f t="shared" si="2"/>
        <v>2123</v>
      </c>
      <c r="K104" s="12">
        <v>55742</v>
      </c>
      <c r="L104" s="12">
        <v>263</v>
      </c>
      <c r="M104" s="9" t="s">
        <v>37</v>
      </c>
      <c r="N104" s="9" t="s">
        <v>34</v>
      </c>
      <c r="O104" s="9" t="s">
        <v>16</v>
      </c>
      <c r="P104" s="89">
        <f>IFERROR(VLOOKUP(O104,'[1]Campaign Metadata'!A:C,2,FALSE),"")</f>
        <v>45667</v>
      </c>
      <c r="Q104" s="90">
        <f>IFERROR(VLOOKUP(O104,'[1]Campaign Metadata'!A:C,3,FALSE),"")</f>
        <v>45698</v>
      </c>
      <c r="R104" s="94" t="str">
        <f t="shared" si="3"/>
        <v>Before</v>
      </c>
    </row>
    <row r="105" spans="1:18" ht="15.75" customHeight="1" thickTop="1" thickBot="1">
      <c r="A105" s="22" t="s">
        <v>134</v>
      </c>
      <c r="B105" s="7" t="s">
        <v>22</v>
      </c>
      <c r="C105" s="6">
        <v>45413</v>
      </c>
      <c r="D105" s="7" t="s">
        <v>23</v>
      </c>
      <c r="E105" s="5" t="s">
        <v>346</v>
      </c>
      <c r="F105" s="8">
        <v>2587</v>
      </c>
      <c r="G105" s="8">
        <v>447</v>
      </c>
      <c r="H105" s="8">
        <v>183</v>
      </c>
      <c r="I105" s="8">
        <v>36266</v>
      </c>
      <c r="J105" s="4">
        <f t="shared" si="2"/>
        <v>3217</v>
      </c>
      <c r="K105" s="8">
        <v>32877</v>
      </c>
      <c r="L105" s="8">
        <v>132</v>
      </c>
      <c r="M105" s="5" t="s">
        <v>19</v>
      </c>
      <c r="N105" s="5" t="s">
        <v>341</v>
      </c>
      <c r="O105" s="5" t="s">
        <v>16</v>
      </c>
      <c r="P105" s="89">
        <f>IFERROR(VLOOKUP(O105,'[1]Campaign Metadata'!A:C,2,FALSE),"")</f>
        <v>45667</v>
      </c>
      <c r="Q105" s="90">
        <f>IFERROR(VLOOKUP(O105,'[1]Campaign Metadata'!A:C,3,FALSE),"")</f>
        <v>45698</v>
      </c>
      <c r="R105" s="94" t="str">
        <f t="shared" si="3"/>
        <v>Before</v>
      </c>
    </row>
    <row r="106" spans="1:18" ht="15.75" customHeight="1" thickTop="1" thickBot="1">
      <c r="A106" s="23" t="s">
        <v>135</v>
      </c>
      <c r="B106" s="11" t="s">
        <v>22</v>
      </c>
      <c r="C106" s="10">
        <v>45553</v>
      </c>
      <c r="D106" s="11" t="s">
        <v>14</v>
      </c>
      <c r="E106" s="9" t="s">
        <v>15</v>
      </c>
      <c r="F106" s="12">
        <v>2878</v>
      </c>
      <c r="G106" s="12">
        <v>265</v>
      </c>
      <c r="H106" s="12">
        <v>91</v>
      </c>
      <c r="I106" s="12">
        <v>52090</v>
      </c>
      <c r="J106" s="4">
        <f t="shared" si="2"/>
        <v>3234</v>
      </c>
      <c r="K106" s="12">
        <v>28924</v>
      </c>
      <c r="L106" s="12">
        <v>133</v>
      </c>
      <c r="M106" s="9" t="s">
        <v>34</v>
      </c>
      <c r="N106" s="9"/>
      <c r="O106" s="9" t="s">
        <v>16</v>
      </c>
      <c r="P106" s="89">
        <f>IFERROR(VLOOKUP(O106,'[1]Campaign Metadata'!A:C,2,FALSE),"")</f>
        <v>45667</v>
      </c>
      <c r="Q106" s="90">
        <f>IFERROR(VLOOKUP(O106,'[1]Campaign Metadata'!A:C,3,FALSE),"")</f>
        <v>45698</v>
      </c>
      <c r="R106" s="94" t="str">
        <f t="shared" si="3"/>
        <v>Before</v>
      </c>
    </row>
    <row r="107" spans="1:18" ht="15.75" customHeight="1" thickTop="1" thickBot="1">
      <c r="A107" s="22" t="s">
        <v>136</v>
      </c>
      <c r="B107" s="7" t="s">
        <v>22</v>
      </c>
      <c r="C107" s="6">
        <v>45677</v>
      </c>
      <c r="D107" s="7" t="s">
        <v>23</v>
      </c>
      <c r="E107" s="5" t="s">
        <v>24</v>
      </c>
      <c r="F107" s="8">
        <v>4619</v>
      </c>
      <c r="G107" s="8">
        <v>272</v>
      </c>
      <c r="H107" s="8">
        <v>57</v>
      </c>
      <c r="I107" s="8">
        <v>21334</v>
      </c>
      <c r="J107" s="4">
        <f t="shared" si="2"/>
        <v>4948</v>
      </c>
      <c r="K107" s="8">
        <v>46292</v>
      </c>
      <c r="L107" s="8">
        <v>91</v>
      </c>
      <c r="M107" s="5" t="s">
        <v>37</v>
      </c>
      <c r="N107" s="5" t="s">
        <v>34</v>
      </c>
      <c r="O107" s="5" t="s">
        <v>16</v>
      </c>
      <c r="P107" s="89">
        <f>IFERROR(VLOOKUP(O107,'[1]Campaign Metadata'!A:C,2,FALSE),"")</f>
        <v>45667</v>
      </c>
      <c r="Q107" s="90">
        <f>IFERROR(VLOOKUP(O107,'[1]Campaign Metadata'!A:C,3,FALSE),"")</f>
        <v>45698</v>
      </c>
      <c r="R107" s="94" t="str">
        <f t="shared" si="3"/>
        <v>During</v>
      </c>
    </row>
    <row r="108" spans="1:18" ht="15.75" customHeight="1" thickTop="1" thickBot="1">
      <c r="A108" s="23" t="s">
        <v>137</v>
      </c>
      <c r="B108" s="11" t="s">
        <v>22</v>
      </c>
      <c r="C108" s="10">
        <v>45670</v>
      </c>
      <c r="D108" s="11" t="s">
        <v>14</v>
      </c>
      <c r="E108" s="9" t="s">
        <v>345</v>
      </c>
      <c r="F108" s="12">
        <v>4090</v>
      </c>
      <c r="G108" s="12">
        <v>209</v>
      </c>
      <c r="H108" s="12">
        <v>278</v>
      </c>
      <c r="I108" s="12">
        <v>52853</v>
      </c>
      <c r="J108" s="4">
        <f t="shared" si="2"/>
        <v>4577</v>
      </c>
      <c r="K108" s="12">
        <v>57084</v>
      </c>
      <c r="L108" s="12">
        <v>102</v>
      </c>
      <c r="M108" s="9" t="s">
        <v>37</v>
      </c>
      <c r="N108" s="9"/>
      <c r="O108" s="9" t="s">
        <v>20</v>
      </c>
      <c r="P108" s="89">
        <f>IFERROR(VLOOKUP(O108,'[1]Campaign Metadata'!A:C,2,FALSE),"")</f>
        <v>45717</v>
      </c>
      <c r="Q108" s="90">
        <f>IFERROR(VLOOKUP(O108,'[1]Campaign Metadata'!A:C,3,FALSE),"")</f>
        <v>45747</v>
      </c>
      <c r="R108" s="94" t="str">
        <f t="shared" si="3"/>
        <v>Before</v>
      </c>
    </row>
    <row r="109" spans="1:18" ht="15.75" customHeight="1" thickTop="1" thickBot="1">
      <c r="A109" s="22" t="s">
        <v>138</v>
      </c>
      <c r="B109" s="7" t="s">
        <v>27</v>
      </c>
      <c r="C109" s="6">
        <v>45542</v>
      </c>
      <c r="D109" s="7" t="s">
        <v>48</v>
      </c>
      <c r="E109" s="5" t="s">
        <v>345</v>
      </c>
      <c r="F109" s="8">
        <v>3882</v>
      </c>
      <c r="G109" s="8">
        <v>342</v>
      </c>
      <c r="H109" s="8">
        <v>374</v>
      </c>
      <c r="I109" s="8">
        <v>41991</v>
      </c>
      <c r="J109" s="4">
        <f t="shared" si="2"/>
        <v>4598</v>
      </c>
      <c r="K109" s="8">
        <v>48554</v>
      </c>
      <c r="L109" s="8">
        <v>118</v>
      </c>
      <c r="M109" s="5" t="s">
        <v>19</v>
      </c>
      <c r="N109" s="5" t="s">
        <v>37</v>
      </c>
      <c r="O109" s="5" t="s">
        <v>49</v>
      </c>
      <c r="P109" s="89">
        <f>IFERROR(VLOOKUP(O109,'[1]Campaign Metadata'!A:C,2,FALSE),"")</f>
        <v>45458</v>
      </c>
      <c r="Q109" s="90">
        <f>IFERROR(VLOOKUP(O109,'[1]Campaign Metadata'!A:C,3,FALSE),"")</f>
        <v>45488</v>
      </c>
      <c r="R109" s="94" t="str">
        <f t="shared" si="3"/>
        <v>After</v>
      </c>
    </row>
    <row r="110" spans="1:18" ht="15.75" customHeight="1" thickTop="1" thickBot="1">
      <c r="A110" s="23" t="s">
        <v>139</v>
      </c>
      <c r="B110" s="11" t="s">
        <v>13</v>
      </c>
      <c r="C110" s="10">
        <v>45617</v>
      </c>
      <c r="D110" s="11" t="s">
        <v>14</v>
      </c>
      <c r="E110" s="9" t="s">
        <v>345</v>
      </c>
      <c r="F110" s="12">
        <v>4581</v>
      </c>
      <c r="G110" s="12">
        <v>181</v>
      </c>
      <c r="H110" s="12">
        <v>112</v>
      </c>
      <c r="I110" s="12">
        <v>35221</v>
      </c>
      <c r="J110" s="4">
        <f t="shared" si="2"/>
        <v>4874</v>
      </c>
      <c r="K110" s="12">
        <v>28797</v>
      </c>
      <c r="L110" s="12">
        <v>164</v>
      </c>
      <c r="M110" s="9" t="s">
        <v>37</v>
      </c>
      <c r="N110" s="9" t="s">
        <v>34</v>
      </c>
      <c r="O110" s="9" t="s">
        <v>16</v>
      </c>
      <c r="P110" s="89">
        <f>IFERROR(VLOOKUP(O110,'[1]Campaign Metadata'!A:C,2,FALSE),"")</f>
        <v>45667</v>
      </c>
      <c r="Q110" s="90">
        <f>IFERROR(VLOOKUP(O110,'[1]Campaign Metadata'!A:C,3,FALSE),"")</f>
        <v>45698</v>
      </c>
      <c r="R110" s="94" t="str">
        <f t="shared" si="3"/>
        <v>Before</v>
      </c>
    </row>
    <row r="111" spans="1:18" ht="15.75" customHeight="1" thickTop="1" thickBot="1">
      <c r="A111" s="22" t="s">
        <v>140</v>
      </c>
      <c r="B111" s="7" t="s">
        <v>13</v>
      </c>
      <c r="C111" s="6">
        <v>45469</v>
      </c>
      <c r="D111" s="7" t="s">
        <v>14</v>
      </c>
      <c r="E111" s="5" t="s">
        <v>24</v>
      </c>
      <c r="F111" s="8">
        <v>3253</v>
      </c>
      <c r="G111" s="8">
        <v>483</v>
      </c>
      <c r="H111" s="8">
        <v>336</v>
      </c>
      <c r="I111" s="8">
        <v>25397</v>
      </c>
      <c r="J111" s="4">
        <f t="shared" si="2"/>
        <v>4072</v>
      </c>
      <c r="K111" s="8">
        <v>51485</v>
      </c>
      <c r="L111" s="8">
        <v>131</v>
      </c>
      <c r="M111" s="5" t="s">
        <v>19</v>
      </c>
      <c r="N111" s="5"/>
      <c r="O111" s="5" t="s">
        <v>20</v>
      </c>
      <c r="P111" s="89">
        <f>IFERROR(VLOOKUP(O111,'[1]Campaign Metadata'!A:C,2,FALSE),"")</f>
        <v>45717</v>
      </c>
      <c r="Q111" s="90">
        <f>IFERROR(VLOOKUP(O111,'[1]Campaign Metadata'!A:C,3,FALSE),"")</f>
        <v>45747</v>
      </c>
      <c r="R111" s="94" t="str">
        <f t="shared" si="3"/>
        <v>Before</v>
      </c>
    </row>
    <row r="112" spans="1:18" ht="15.75" customHeight="1" thickTop="1" thickBot="1">
      <c r="A112" s="23" t="s">
        <v>141</v>
      </c>
      <c r="B112" s="11" t="s">
        <v>27</v>
      </c>
      <c r="C112" s="10">
        <v>45493</v>
      </c>
      <c r="D112" s="11" t="s">
        <v>48</v>
      </c>
      <c r="E112" s="9" t="s">
        <v>345</v>
      </c>
      <c r="F112" s="12">
        <v>4955</v>
      </c>
      <c r="G112" s="12">
        <v>299</v>
      </c>
      <c r="H112" s="12">
        <v>345</v>
      </c>
      <c r="I112" s="12">
        <v>33644</v>
      </c>
      <c r="J112" s="4">
        <f t="shared" si="2"/>
        <v>5599</v>
      </c>
      <c r="K112" s="12">
        <v>43547</v>
      </c>
      <c r="L112" s="12">
        <v>194</v>
      </c>
      <c r="M112" s="9" t="s">
        <v>19</v>
      </c>
      <c r="N112" s="9" t="s">
        <v>37</v>
      </c>
      <c r="O112" s="9" t="s">
        <v>49</v>
      </c>
      <c r="P112" s="89">
        <f>IFERROR(VLOOKUP(O112,'[1]Campaign Metadata'!A:C,2,FALSE),"")</f>
        <v>45458</v>
      </c>
      <c r="Q112" s="90">
        <f>IFERROR(VLOOKUP(O112,'[1]Campaign Metadata'!A:C,3,FALSE),"")</f>
        <v>45488</v>
      </c>
      <c r="R112" s="94" t="str">
        <f t="shared" si="3"/>
        <v>After</v>
      </c>
    </row>
    <row r="113" spans="1:18" ht="15.75" customHeight="1" thickTop="1" thickBot="1">
      <c r="A113" s="22" t="s">
        <v>142</v>
      </c>
      <c r="B113" s="7" t="s">
        <v>13</v>
      </c>
      <c r="C113" s="6">
        <v>45704</v>
      </c>
      <c r="D113" s="7" t="s">
        <v>14</v>
      </c>
      <c r="E113" s="5" t="s">
        <v>42</v>
      </c>
      <c r="F113" s="8">
        <v>1333</v>
      </c>
      <c r="G113" s="8">
        <v>286</v>
      </c>
      <c r="H113" s="8">
        <v>298</v>
      </c>
      <c r="I113" s="8">
        <v>36174</v>
      </c>
      <c r="J113" s="4">
        <f t="shared" si="2"/>
        <v>1917</v>
      </c>
      <c r="K113" s="8">
        <v>34517</v>
      </c>
      <c r="L113" s="8">
        <v>170</v>
      </c>
      <c r="M113" s="5" t="s">
        <v>37</v>
      </c>
      <c r="N113" s="5" t="s">
        <v>34</v>
      </c>
      <c r="O113" s="5" t="s">
        <v>16</v>
      </c>
      <c r="P113" s="89">
        <f>IFERROR(VLOOKUP(O113,'[1]Campaign Metadata'!A:C,2,FALSE),"")</f>
        <v>45667</v>
      </c>
      <c r="Q113" s="90">
        <f>IFERROR(VLOOKUP(O113,'[1]Campaign Metadata'!A:C,3,FALSE),"")</f>
        <v>45698</v>
      </c>
      <c r="R113" s="94" t="str">
        <f t="shared" si="3"/>
        <v>After</v>
      </c>
    </row>
    <row r="114" spans="1:18" ht="15.75" customHeight="1" thickTop="1" thickBot="1">
      <c r="A114" s="23" t="s">
        <v>143</v>
      </c>
      <c r="B114" s="11" t="s">
        <v>13</v>
      </c>
      <c r="C114" s="10">
        <v>45544</v>
      </c>
      <c r="D114" s="11" t="s">
        <v>14</v>
      </c>
      <c r="E114" s="9" t="s">
        <v>24</v>
      </c>
      <c r="F114" s="12">
        <v>1616</v>
      </c>
      <c r="G114" s="12">
        <v>360</v>
      </c>
      <c r="H114" s="12">
        <v>180</v>
      </c>
      <c r="I114" s="12">
        <v>54342</v>
      </c>
      <c r="J114" s="4">
        <f t="shared" si="2"/>
        <v>2156</v>
      </c>
      <c r="K114" s="12">
        <v>18796</v>
      </c>
      <c r="L114" s="12">
        <v>282</v>
      </c>
      <c r="M114" s="9" t="s">
        <v>37</v>
      </c>
      <c r="N114" s="9" t="s">
        <v>34</v>
      </c>
      <c r="O114" s="9" t="s">
        <v>16</v>
      </c>
      <c r="P114" s="89">
        <f>IFERROR(VLOOKUP(O114,'[1]Campaign Metadata'!A:C,2,FALSE),"")</f>
        <v>45667</v>
      </c>
      <c r="Q114" s="90">
        <f>IFERROR(VLOOKUP(O114,'[1]Campaign Metadata'!A:C,3,FALSE),"")</f>
        <v>45698</v>
      </c>
      <c r="R114" s="94" t="str">
        <f t="shared" si="3"/>
        <v>Before</v>
      </c>
    </row>
    <row r="115" spans="1:18" ht="15.75" customHeight="1" thickTop="1" thickBot="1">
      <c r="A115" s="22" t="s">
        <v>144</v>
      </c>
      <c r="B115" s="7" t="s">
        <v>22</v>
      </c>
      <c r="C115" s="6">
        <v>45489</v>
      </c>
      <c r="D115" s="7" t="s">
        <v>14</v>
      </c>
      <c r="E115" s="5" t="s">
        <v>33</v>
      </c>
      <c r="F115" s="8">
        <v>1803</v>
      </c>
      <c r="G115" s="8">
        <v>273</v>
      </c>
      <c r="H115" s="8">
        <v>287</v>
      </c>
      <c r="I115" s="8">
        <v>46176</v>
      </c>
      <c r="J115" s="4">
        <f t="shared" si="2"/>
        <v>2363</v>
      </c>
      <c r="K115" s="8">
        <v>25488</v>
      </c>
      <c r="L115" s="8">
        <v>141</v>
      </c>
      <c r="M115" s="5" t="s">
        <v>34</v>
      </c>
      <c r="N115" s="5"/>
      <c r="O115" s="5" t="s">
        <v>16</v>
      </c>
      <c r="P115" s="89">
        <f>IFERROR(VLOOKUP(O115,'[1]Campaign Metadata'!A:C,2,FALSE),"")</f>
        <v>45667</v>
      </c>
      <c r="Q115" s="90">
        <f>IFERROR(VLOOKUP(O115,'[1]Campaign Metadata'!A:C,3,FALSE),"")</f>
        <v>45698</v>
      </c>
      <c r="R115" s="94" t="str">
        <f t="shared" si="3"/>
        <v>Before</v>
      </c>
    </row>
    <row r="116" spans="1:18" ht="15.75" customHeight="1" thickTop="1" thickBot="1">
      <c r="A116" s="23" t="s">
        <v>145</v>
      </c>
      <c r="B116" s="11" t="s">
        <v>13</v>
      </c>
      <c r="C116" s="10">
        <v>45762</v>
      </c>
      <c r="D116" s="11" t="s">
        <v>14</v>
      </c>
      <c r="E116" s="9" t="s">
        <v>18</v>
      </c>
      <c r="F116" s="12">
        <v>4177</v>
      </c>
      <c r="G116" s="12">
        <v>489</v>
      </c>
      <c r="H116" s="12">
        <v>331</v>
      </c>
      <c r="I116" s="12">
        <v>57451</v>
      </c>
      <c r="J116" s="4">
        <f t="shared" si="2"/>
        <v>4997</v>
      </c>
      <c r="K116" s="12">
        <v>73793</v>
      </c>
      <c r="L116" s="12">
        <v>251</v>
      </c>
      <c r="M116" s="9" t="s">
        <v>19</v>
      </c>
      <c r="N116" s="9"/>
      <c r="O116" s="9" t="s">
        <v>20</v>
      </c>
      <c r="P116" s="89">
        <f>IFERROR(VLOOKUP(O116,'[1]Campaign Metadata'!A:C,2,FALSE),"")</f>
        <v>45717</v>
      </c>
      <c r="Q116" s="90">
        <f>IFERROR(VLOOKUP(O116,'[1]Campaign Metadata'!A:C,3,FALSE),"")</f>
        <v>45747</v>
      </c>
      <c r="R116" s="94" t="str">
        <f t="shared" si="3"/>
        <v>After</v>
      </c>
    </row>
    <row r="117" spans="1:18" ht="15.75" customHeight="1" thickTop="1" thickBot="1">
      <c r="A117" s="22" t="s">
        <v>146</v>
      </c>
      <c r="B117" s="7" t="s">
        <v>13</v>
      </c>
      <c r="C117" s="6">
        <v>45781</v>
      </c>
      <c r="D117" s="7" t="s">
        <v>23</v>
      </c>
      <c r="E117" s="5" t="s">
        <v>24</v>
      </c>
      <c r="F117" s="8">
        <v>1311</v>
      </c>
      <c r="G117" s="8">
        <v>181</v>
      </c>
      <c r="H117" s="8">
        <v>361</v>
      </c>
      <c r="I117" s="8">
        <v>37148</v>
      </c>
      <c r="J117" s="4">
        <f t="shared" si="2"/>
        <v>1853</v>
      </c>
      <c r="K117" s="8">
        <v>44875</v>
      </c>
      <c r="L117" s="8">
        <v>245</v>
      </c>
      <c r="M117" s="5" t="s">
        <v>34</v>
      </c>
      <c r="N117" s="5"/>
      <c r="O117" s="5" t="s">
        <v>46</v>
      </c>
      <c r="P117" s="89">
        <f>IFERROR(VLOOKUP(O117,'[1]Campaign Metadata'!A:C,2,FALSE),"")</f>
        <v>45627</v>
      </c>
      <c r="Q117" s="90">
        <f>IFERROR(VLOOKUP(O117,'[1]Campaign Metadata'!A:C,3,FALSE),"")</f>
        <v>45657</v>
      </c>
      <c r="R117" s="94" t="str">
        <f t="shared" si="3"/>
        <v>After</v>
      </c>
    </row>
    <row r="118" spans="1:18" ht="15.75" customHeight="1" thickTop="1" thickBot="1">
      <c r="A118" s="23" t="s">
        <v>147</v>
      </c>
      <c r="B118" s="11" t="s">
        <v>13</v>
      </c>
      <c r="C118" s="10">
        <v>45340</v>
      </c>
      <c r="D118" s="11" t="s">
        <v>23</v>
      </c>
      <c r="E118" s="9" t="s">
        <v>347</v>
      </c>
      <c r="F118" s="12">
        <v>1516</v>
      </c>
      <c r="G118" s="12">
        <v>215</v>
      </c>
      <c r="H118" s="12">
        <v>332</v>
      </c>
      <c r="I118" s="12">
        <v>58981</v>
      </c>
      <c r="J118" s="4">
        <f t="shared" si="2"/>
        <v>2063</v>
      </c>
      <c r="K118" s="12">
        <v>36118</v>
      </c>
      <c r="L118" s="12">
        <v>211</v>
      </c>
      <c r="M118" s="9" t="s">
        <v>34</v>
      </c>
      <c r="N118" s="9"/>
      <c r="O118" s="9" t="s">
        <v>46</v>
      </c>
      <c r="P118" s="89">
        <f>IFERROR(VLOOKUP(O118,'[1]Campaign Metadata'!A:C,2,FALSE),"")</f>
        <v>45627</v>
      </c>
      <c r="Q118" s="90">
        <f>IFERROR(VLOOKUP(O118,'[1]Campaign Metadata'!A:C,3,FALSE),"")</f>
        <v>45657</v>
      </c>
      <c r="R118" s="94" t="str">
        <f t="shared" si="3"/>
        <v>Before</v>
      </c>
    </row>
    <row r="119" spans="1:18" ht="15.75" customHeight="1" thickTop="1" thickBot="1">
      <c r="A119" s="22" t="s">
        <v>148</v>
      </c>
      <c r="B119" s="7" t="s">
        <v>22</v>
      </c>
      <c r="C119" s="6">
        <v>45428</v>
      </c>
      <c r="D119" s="7" t="s">
        <v>23</v>
      </c>
      <c r="E119" s="5" t="s">
        <v>345</v>
      </c>
      <c r="F119" s="8">
        <v>2023</v>
      </c>
      <c r="G119" s="8">
        <v>124</v>
      </c>
      <c r="H119" s="8">
        <v>99</v>
      </c>
      <c r="I119" s="8">
        <v>54524</v>
      </c>
      <c r="J119" s="4">
        <f t="shared" si="2"/>
        <v>2246</v>
      </c>
      <c r="K119" s="8">
        <v>34790</v>
      </c>
      <c r="L119" s="8">
        <v>195</v>
      </c>
      <c r="M119" s="5" t="s">
        <v>19</v>
      </c>
      <c r="N119" s="5" t="s">
        <v>341</v>
      </c>
      <c r="O119" s="5" t="s">
        <v>16</v>
      </c>
      <c r="P119" s="89">
        <f>IFERROR(VLOOKUP(O119,'[1]Campaign Metadata'!A:C,2,FALSE),"")</f>
        <v>45667</v>
      </c>
      <c r="Q119" s="90">
        <f>IFERROR(VLOOKUP(O119,'[1]Campaign Metadata'!A:C,3,FALSE),"")</f>
        <v>45698</v>
      </c>
      <c r="R119" s="94" t="str">
        <f t="shared" si="3"/>
        <v>Before</v>
      </c>
    </row>
    <row r="120" spans="1:18" ht="15.75" customHeight="1" thickTop="1" thickBot="1">
      <c r="A120" s="23" t="s">
        <v>149</v>
      </c>
      <c r="B120" s="11" t="s">
        <v>22</v>
      </c>
      <c r="C120" s="10">
        <v>45806</v>
      </c>
      <c r="D120" s="11" t="s">
        <v>23</v>
      </c>
      <c r="E120" s="9" t="s">
        <v>345</v>
      </c>
      <c r="F120" s="12">
        <v>2134</v>
      </c>
      <c r="G120" s="12">
        <v>322</v>
      </c>
      <c r="H120" s="12">
        <v>114</v>
      </c>
      <c r="I120" s="12">
        <v>44338</v>
      </c>
      <c r="J120" s="4">
        <f t="shared" si="2"/>
        <v>2570</v>
      </c>
      <c r="K120" s="12">
        <v>52165</v>
      </c>
      <c r="L120" s="12">
        <v>176</v>
      </c>
      <c r="M120" s="9" t="s">
        <v>341</v>
      </c>
      <c r="N120" s="9" t="s">
        <v>34</v>
      </c>
      <c r="O120" s="9" t="s">
        <v>16</v>
      </c>
      <c r="P120" s="89">
        <f>IFERROR(VLOOKUP(O120,'[1]Campaign Metadata'!A:C,2,FALSE),"")</f>
        <v>45667</v>
      </c>
      <c r="Q120" s="90">
        <f>IFERROR(VLOOKUP(O120,'[1]Campaign Metadata'!A:C,3,FALSE),"")</f>
        <v>45698</v>
      </c>
      <c r="R120" s="94" t="str">
        <f t="shared" si="3"/>
        <v>After</v>
      </c>
    </row>
    <row r="121" spans="1:18" ht="15.75" customHeight="1" thickTop="1" thickBot="1">
      <c r="A121" s="22" t="s">
        <v>150</v>
      </c>
      <c r="B121" s="7" t="s">
        <v>13</v>
      </c>
      <c r="C121" s="6">
        <v>45674</v>
      </c>
      <c r="D121" s="7" t="s">
        <v>14</v>
      </c>
      <c r="E121" s="5" t="s">
        <v>33</v>
      </c>
      <c r="F121" s="8">
        <v>2266</v>
      </c>
      <c r="G121" s="8">
        <v>126</v>
      </c>
      <c r="H121" s="8">
        <v>140</v>
      </c>
      <c r="I121" s="8">
        <v>53759</v>
      </c>
      <c r="J121" s="4">
        <f t="shared" si="2"/>
        <v>2532</v>
      </c>
      <c r="K121" s="8">
        <v>46834</v>
      </c>
      <c r="L121" s="8">
        <v>277</v>
      </c>
      <c r="M121" s="5" t="s">
        <v>19</v>
      </c>
      <c r="N121" s="5"/>
      <c r="O121" s="5" t="s">
        <v>20</v>
      </c>
      <c r="P121" s="89">
        <f>IFERROR(VLOOKUP(O121,'[1]Campaign Metadata'!A:C,2,FALSE),"")</f>
        <v>45717</v>
      </c>
      <c r="Q121" s="90">
        <f>IFERROR(VLOOKUP(O121,'[1]Campaign Metadata'!A:C,3,FALSE),"")</f>
        <v>45747</v>
      </c>
      <c r="R121" s="94" t="str">
        <f t="shared" si="3"/>
        <v>Before</v>
      </c>
    </row>
    <row r="122" spans="1:18" ht="15.75" customHeight="1" thickTop="1" thickBot="1">
      <c r="A122" s="23" t="s">
        <v>151</v>
      </c>
      <c r="B122" s="11" t="s">
        <v>13</v>
      </c>
      <c r="C122" s="10">
        <v>45777</v>
      </c>
      <c r="D122" s="11" t="s">
        <v>23</v>
      </c>
      <c r="E122" s="9" t="s">
        <v>24</v>
      </c>
      <c r="F122" s="12">
        <v>3916</v>
      </c>
      <c r="G122" s="12">
        <v>459</v>
      </c>
      <c r="H122" s="12">
        <v>229</v>
      </c>
      <c r="I122" s="12">
        <v>48989</v>
      </c>
      <c r="J122" s="4">
        <f t="shared" si="2"/>
        <v>4604</v>
      </c>
      <c r="K122" s="12">
        <v>39768</v>
      </c>
      <c r="L122" s="12">
        <v>200</v>
      </c>
      <c r="M122" s="9" t="s">
        <v>34</v>
      </c>
      <c r="N122" s="9"/>
      <c r="O122" s="9" t="s">
        <v>46</v>
      </c>
      <c r="P122" s="89">
        <f>IFERROR(VLOOKUP(O122,'[1]Campaign Metadata'!A:C,2,FALSE),"")</f>
        <v>45627</v>
      </c>
      <c r="Q122" s="90">
        <f>IFERROR(VLOOKUP(O122,'[1]Campaign Metadata'!A:C,3,FALSE),"")</f>
        <v>45657</v>
      </c>
      <c r="R122" s="94" t="str">
        <f t="shared" si="3"/>
        <v>After</v>
      </c>
    </row>
    <row r="123" spans="1:18" ht="15.75" customHeight="1" thickTop="1" thickBot="1">
      <c r="A123" s="22" t="s">
        <v>152</v>
      </c>
      <c r="B123" s="7" t="s">
        <v>22</v>
      </c>
      <c r="C123" s="6">
        <v>45346</v>
      </c>
      <c r="D123" s="7" t="s">
        <v>23</v>
      </c>
      <c r="E123" s="5" t="s">
        <v>345</v>
      </c>
      <c r="F123" s="8">
        <v>1022</v>
      </c>
      <c r="G123" s="8">
        <v>463</v>
      </c>
      <c r="H123" s="8">
        <v>360</v>
      </c>
      <c r="I123" s="8">
        <v>51468</v>
      </c>
      <c r="J123" s="4">
        <f t="shared" si="2"/>
        <v>1845</v>
      </c>
      <c r="K123" s="8">
        <v>24279</v>
      </c>
      <c r="L123" s="8">
        <v>230</v>
      </c>
      <c r="M123" s="5" t="s">
        <v>19</v>
      </c>
      <c r="N123" s="5" t="s">
        <v>341</v>
      </c>
      <c r="O123" s="5" t="s">
        <v>16</v>
      </c>
      <c r="P123" s="89">
        <f>IFERROR(VLOOKUP(O123,'[1]Campaign Metadata'!A:C,2,FALSE),"")</f>
        <v>45667</v>
      </c>
      <c r="Q123" s="90">
        <f>IFERROR(VLOOKUP(O123,'[1]Campaign Metadata'!A:C,3,FALSE),"")</f>
        <v>45698</v>
      </c>
      <c r="R123" s="94" t="str">
        <f t="shared" si="3"/>
        <v>Before</v>
      </c>
    </row>
    <row r="124" spans="1:18" ht="15.75" customHeight="1" thickTop="1" thickBot="1">
      <c r="A124" s="23" t="s">
        <v>153</v>
      </c>
      <c r="B124" s="11" t="s">
        <v>27</v>
      </c>
      <c r="C124" s="10">
        <v>45424</v>
      </c>
      <c r="D124" s="11" t="s">
        <v>14</v>
      </c>
      <c r="E124" s="9" t="s">
        <v>347</v>
      </c>
      <c r="F124" s="12">
        <v>2911</v>
      </c>
      <c r="G124" s="12">
        <v>467</v>
      </c>
      <c r="H124" s="12">
        <v>94</v>
      </c>
      <c r="I124" s="12">
        <v>59083</v>
      </c>
      <c r="J124" s="4">
        <f t="shared" si="2"/>
        <v>3472</v>
      </c>
      <c r="K124" s="12">
        <v>49762</v>
      </c>
      <c r="L124" s="12">
        <v>236</v>
      </c>
      <c r="M124" s="9" t="s">
        <v>19</v>
      </c>
      <c r="N124" s="9" t="s">
        <v>340</v>
      </c>
      <c r="O124" s="9" t="s">
        <v>20</v>
      </c>
      <c r="P124" s="89">
        <f>IFERROR(VLOOKUP(O124,'[1]Campaign Metadata'!A:C,2,FALSE),"")</f>
        <v>45717</v>
      </c>
      <c r="Q124" s="90">
        <f>IFERROR(VLOOKUP(O124,'[1]Campaign Metadata'!A:C,3,FALSE),"")</f>
        <v>45747</v>
      </c>
      <c r="R124" s="94" t="str">
        <f t="shared" si="3"/>
        <v>Before</v>
      </c>
    </row>
    <row r="125" spans="1:18" ht="15.75" customHeight="1" thickTop="1" thickBot="1">
      <c r="A125" s="22" t="s">
        <v>154</v>
      </c>
      <c r="B125" s="7" t="s">
        <v>22</v>
      </c>
      <c r="C125" s="6">
        <v>45421</v>
      </c>
      <c r="D125" s="7" t="s">
        <v>23</v>
      </c>
      <c r="E125" s="5" t="s">
        <v>24</v>
      </c>
      <c r="F125" s="8">
        <v>3277</v>
      </c>
      <c r="G125" s="8">
        <v>423</v>
      </c>
      <c r="H125" s="8">
        <v>259</v>
      </c>
      <c r="I125" s="8">
        <v>46328</v>
      </c>
      <c r="J125" s="4">
        <f t="shared" si="2"/>
        <v>3959</v>
      </c>
      <c r="K125" s="8">
        <v>44293</v>
      </c>
      <c r="L125" s="8">
        <v>299</v>
      </c>
      <c r="M125" s="5" t="s">
        <v>37</v>
      </c>
      <c r="N125" s="5" t="s">
        <v>34</v>
      </c>
      <c r="O125" s="5" t="s">
        <v>16</v>
      </c>
      <c r="P125" s="89">
        <f>IFERROR(VLOOKUP(O125,'[1]Campaign Metadata'!A:C,2,FALSE),"")</f>
        <v>45667</v>
      </c>
      <c r="Q125" s="90">
        <f>IFERROR(VLOOKUP(O125,'[1]Campaign Metadata'!A:C,3,FALSE),"")</f>
        <v>45698</v>
      </c>
      <c r="R125" s="94" t="str">
        <f t="shared" si="3"/>
        <v>Before</v>
      </c>
    </row>
    <row r="126" spans="1:18" ht="15.75" customHeight="1" thickTop="1" thickBot="1">
      <c r="A126" s="23" t="s">
        <v>155</v>
      </c>
      <c r="B126" s="11" t="s">
        <v>22</v>
      </c>
      <c r="C126" s="10">
        <v>45602</v>
      </c>
      <c r="D126" s="11" t="s">
        <v>14</v>
      </c>
      <c r="E126" s="9" t="s">
        <v>347</v>
      </c>
      <c r="F126" s="12">
        <v>2956</v>
      </c>
      <c r="G126" s="12">
        <v>381</v>
      </c>
      <c r="H126" s="12">
        <v>345</v>
      </c>
      <c r="I126" s="12">
        <v>33347</v>
      </c>
      <c r="J126" s="4">
        <f t="shared" si="2"/>
        <v>3682</v>
      </c>
      <c r="K126" s="12">
        <v>22558</v>
      </c>
      <c r="L126" s="12">
        <v>173</v>
      </c>
      <c r="M126" s="9" t="s">
        <v>34</v>
      </c>
      <c r="N126" s="9"/>
      <c r="O126" s="9" t="s">
        <v>16</v>
      </c>
      <c r="P126" s="89">
        <f>IFERROR(VLOOKUP(O126,'[1]Campaign Metadata'!A:C,2,FALSE),"")</f>
        <v>45667</v>
      </c>
      <c r="Q126" s="90">
        <f>IFERROR(VLOOKUP(O126,'[1]Campaign Metadata'!A:C,3,FALSE),"")</f>
        <v>45698</v>
      </c>
      <c r="R126" s="94" t="str">
        <f t="shared" si="3"/>
        <v>Before</v>
      </c>
    </row>
    <row r="127" spans="1:18" ht="15.75" customHeight="1" thickTop="1" thickBot="1">
      <c r="A127" s="22" t="s">
        <v>156</v>
      </c>
      <c r="B127" s="7" t="s">
        <v>22</v>
      </c>
      <c r="C127" s="6">
        <v>45295</v>
      </c>
      <c r="D127" s="7" t="s">
        <v>23</v>
      </c>
      <c r="E127" s="5" t="s">
        <v>346</v>
      </c>
      <c r="F127" s="8">
        <v>3208</v>
      </c>
      <c r="G127" s="8">
        <v>476</v>
      </c>
      <c r="H127" s="8">
        <v>277</v>
      </c>
      <c r="I127" s="8">
        <v>56072</v>
      </c>
      <c r="J127" s="4">
        <f t="shared" si="2"/>
        <v>3961</v>
      </c>
      <c r="K127" s="8">
        <v>21061</v>
      </c>
      <c r="L127" s="8">
        <v>113</v>
      </c>
      <c r="M127" s="5" t="s">
        <v>341</v>
      </c>
      <c r="N127" s="5" t="s">
        <v>34</v>
      </c>
      <c r="O127" s="5" t="s">
        <v>16</v>
      </c>
      <c r="P127" s="89">
        <f>IFERROR(VLOOKUP(O127,'[1]Campaign Metadata'!A:C,2,FALSE),"")</f>
        <v>45667</v>
      </c>
      <c r="Q127" s="90">
        <f>IFERROR(VLOOKUP(O127,'[1]Campaign Metadata'!A:C,3,FALSE),"")</f>
        <v>45698</v>
      </c>
      <c r="R127" s="94" t="str">
        <f t="shared" si="3"/>
        <v>Before</v>
      </c>
    </row>
    <row r="128" spans="1:18" ht="15.75" customHeight="1" thickTop="1" thickBot="1">
      <c r="A128" s="23" t="s">
        <v>157</v>
      </c>
      <c r="B128" s="11" t="s">
        <v>22</v>
      </c>
      <c r="C128" s="10">
        <v>45319</v>
      </c>
      <c r="D128" s="11" t="s">
        <v>14</v>
      </c>
      <c r="E128" s="9" t="s">
        <v>345</v>
      </c>
      <c r="F128" s="12">
        <v>1456</v>
      </c>
      <c r="G128" s="12">
        <v>265</v>
      </c>
      <c r="H128" s="12">
        <v>137</v>
      </c>
      <c r="I128" s="12">
        <v>53485</v>
      </c>
      <c r="J128" s="4">
        <f t="shared" si="2"/>
        <v>1858</v>
      </c>
      <c r="K128" s="12">
        <v>59729</v>
      </c>
      <c r="L128" s="12">
        <v>145</v>
      </c>
      <c r="M128" s="9" t="s">
        <v>37</v>
      </c>
      <c r="N128" s="9"/>
      <c r="O128" s="9" t="s">
        <v>20</v>
      </c>
      <c r="P128" s="89">
        <f>IFERROR(VLOOKUP(O128,'[1]Campaign Metadata'!A:C,2,FALSE),"")</f>
        <v>45717</v>
      </c>
      <c r="Q128" s="90">
        <f>IFERROR(VLOOKUP(O128,'[1]Campaign Metadata'!A:C,3,FALSE),"")</f>
        <v>45747</v>
      </c>
      <c r="R128" s="94" t="str">
        <f t="shared" si="3"/>
        <v>Before</v>
      </c>
    </row>
    <row r="129" spans="1:18" ht="15.75" customHeight="1" thickTop="1" thickBot="1">
      <c r="A129" s="22" t="s">
        <v>158</v>
      </c>
      <c r="B129" s="7" t="s">
        <v>13</v>
      </c>
      <c r="C129" s="6">
        <v>45344</v>
      </c>
      <c r="D129" s="7" t="s">
        <v>14</v>
      </c>
      <c r="E129" s="5" t="s">
        <v>24</v>
      </c>
      <c r="F129" s="8">
        <v>1902</v>
      </c>
      <c r="G129" s="8">
        <v>394</v>
      </c>
      <c r="H129" s="8">
        <v>279</v>
      </c>
      <c r="I129" s="8">
        <v>24615</v>
      </c>
      <c r="J129" s="4">
        <f t="shared" si="2"/>
        <v>2575</v>
      </c>
      <c r="K129" s="8">
        <v>51330</v>
      </c>
      <c r="L129" s="8">
        <v>176</v>
      </c>
      <c r="M129" s="5" t="s">
        <v>37</v>
      </c>
      <c r="N129" s="5" t="s">
        <v>34</v>
      </c>
      <c r="O129" s="5" t="s">
        <v>16</v>
      </c>
      <c r="P129" s="89">
        <f>IFERROR(VLOOKUP(O129,'[1]Campaign Metadata'!A:C,2,FALSE),"")</f>
        <v>45667</v>
      </c>
      <c r="Q129" s="90">
        <f>IFERROR(VLOOKUP(O129,'[1]Campaign Metadata'!A:C,3,FALSE),"")</f>
        <v>45698</v>
      </c>
      <c r="R129" s="94" t="str">
        <f t="shared" si="3"/>
        <v>Before</v>
      </c>
    </row>
    <row r="130" spans="1:18" ht="15.75" customHeight="1" thickTop="1" thickBot="1">
      <c r="A130" s="23" t="s">
        <v>159</v>
      </c>
      <c r="B130" s="11" t="s">
        <v>22</v>
      </c>
      <c r="C130" s="10">
        <v>45839</v>
      </c>
      <c r="D130" s="11" t="s">
        <v>23</v>
      </c>
      <c r="E130" s="9" t="s">
        <v>18</v>
      </c>
      <c r="F130" s="12">
        <v>3219</v>
      </c>
      <c r="G130" s="12">
        <v>424</v>
      </c>
      <c r="H130" s="12">
        <v>267</v>
      </c>
      <c r="I130" s="12">
        <v>48879</v>
      </c>
      <c r="J130" s="4">
        <f t="shared" si="2"/>
        <v>3910</v>
      </c>
      <c r="K130" s="12">
        <v>37691</v>
      </c>
      <c r="L130" s="12">
        <v>224</v>
      </c>
      <c r="M130" s="9" t="s">
        <v>19</v>
      </c>
      <c r="N130" s="9" t="s">
        <v>341</v>
      </c>
      <c r="O130" s="9" t="s">
        <v>16</v>
      </c>
      <c r="P130" s="89">
        <f>IFERROR(VLOOKUP(O130,'[1]Campaign Metadata'!A:C,2,FALSE),"")</f>
        <v>45667</v>
      </c>
      <c r="Q130" s="90">
        <f>IFERROR(VLOOKUP(O130,'[1]Campaign Metadata'!A:C,3,FALSE),"")</f>
        <v>45698</v>
      </c>
      <c r="R130" s="94" t="str">
        <f t="shared" si="3"/>
        <v>After</v>
      </c>
    </row>
    <row r="131" spans="1:18" ht="15.75" customHeight="1" thickTop="1" thickBot="1">
      <c r="A131" s="22" t="s">
        <v>160</v>
      </c>
      <c r="B131" s="7" t="s">
        <v>27</v>
      </c>
      <c r="C131" s="6">
        <v>45301</v>
      </c>
      <c r="D131" s="7" t="s">
        <v>14</v>
      </c>
      <c r="E131" s="5" t="s">
        <v>18</v>
      </c>
      <c r="F131" s="8">
        <v>1261</v>
      </c>
      <c r="G131" s="8">
        <v>190</v>
      </c>
      <c r="H131" s="8">
        <v>233</v>
      </c>
      <c r="I131" s="8">
        <v>59888</v>
      </c>
      <c r="J131" s="4">
        <f t="shared" ref="J131:J194" si="4">(F131+G131+H131)</f>
        <v>1684</v>
      </c>
      <c r="K131" s="8">
        <v>51449</v>
      </c>
      <c r="L131" s="8">
        <v>205</v>
      </c>
      <c r="M131" s="5" t="s">
        <v>19</v>
      </c>
      <c r="N131" s="5" t="s">
        <v>340</v>
      </c>
      <c r="O131" s="5" t="s">
        <v>20</v>
      </c>
      <c r="P131" s="89">
        <f>IFERROR(VLOOKUP(O131,'[1]Campaign Metadata'!A:C,2,FALSE),"")</f>
        <v>45717</v>
      </c>
      <c r="Q131" s="90">
        <f>IFERROR(VLOOKUP(O131,'[1]Campaign Metadata'!A:C,3,FALSE),"")</f>
        <v>45747</v>
      </c>
      <c r="R131" s="94" t="str">
        <f t="shared" ref="R131:R194" si="5">IF(AND(C131&lt;=Q131,C131&gt;=P131),"During",IF(C131&gt;Q131,"After","Before"))</f>
        <v>Before</v>
      </c>
    </row>
    <row r="132" spans="1:18" ht="15.75" customHeight="1" thickTop="1" thickBot="1">
      <c r="A132" s="23" t="s">
        <v>161</v>
      </c>
      <c r="B132" s="11" t="s">
        <v>22</v>
      </c>
      <c r="C132" s="10">
        <v>45736</v>
      </c>
      <c r="D132" s="11" t="s">
        <v>14</v>
      </c>
      <c r="E132" s="9" t="s">
        <v>42</v>
      </c>
      <c r="F132" s="12">
        <v>1564</v>
      </c>
      <c r="G132" s="12">
        <v>362</v>
      </c>
      <c r="H132" s="12">
        <v>371</v>
      </c>
      <c r="I132" s="12">
        <v>42075</v>
      </c>
      <c r="J132" s="4">
        <f t="shared" si="4"/>
        <v>2297</v>
      </c>
      <c r="K132" s="12">
        <v>66659</v>
      </c>
      <c r="L132" s="12">
        <v>205</v>
      </c>
      <c r="M132" s="9" t="s">
        <v>37</v>
      </c>
      <c r="N132" s="9"/>
      <c r="O132" s="9" t="s">
        <v>20</v>
      </c>
      <c r="P132" s="89">
        <f>IFERROR(VLOOKUP(O132,'[1]Campaign Metadata'!A:C,2,FALSE),"")</f>
        <v>45717</v>
      </c>
      <c r="Q132" s="90">
        <f>IFERROR(VLOOKUP(O132,'[1]Campaign Metadata'!A:C,3,FALSE),"")</f>
        <v>45747</v>
      </c>
      <c r="R132" s="94" t="str">
        <f t="shared" si="5"/>
        <v>During</v>
      </c>
    </row>
    <row r="133" spans="1:18" ht="15.75" customHeight="1" thickTop="1" thickBot="1">
      <c r="A133" s="22" t="s">
        <v>162</v>
      </c>
      <c r="B133" s="7" t="s">
        <v>22</v>
      </c>
      <c r="C133" s="6">
        <v>45563</v>
      </c>
      <c r="D133" s="7" t="s">
        <v>14</v>
      </c>
      <c r="E133" s="5" t="s">
        <v>346</v>
      </c>
      <c r="F133" s="8">
        <v>4006</v>
      </c>
      <c r="G133" s="8">
        <v>420</v>
      </c>
      <c r="H133" s="8">
        <v>194</v>
      </c>
      <c r="I133" s="8">
        <v>49964</v>
      </c>
      <c r="J133" s="4">
        <f t="shared" si="4"/>
        <v>4620</v>
      </c>
      <c r="K133" s="8">
        <v>20685</v>
      </c>
      <c r="L133" s="8">
        <v>148</v>
      </c>
      <c r="M133" s="5" t="s">
        <v>34</v>
      </c>
      <c r="N133" s="5"/>
      <c r="O133" s="5" t="s">
        <v>16</v>
      </c>
      <c r="P133" s="89">
        <f>IFERROR(VLOOKUP(O133,'[1]Campaign Metadata'!A:C,2,FALSE),"")</f>
        <v>45667</v>
      </c>
      <c r="Q133" s="90">
        <f>IFERROR(VLOOKUP(O133,'[1]Campaign Metadata'!A:C,3,FALSE),"")</f>
        <v>45698</v>
      </c>
      <c r="R133" s="94" t="str">
        <f t="shared" si="5"/>
        <v>Before</v>
      </c>
    </row>
    <row r="134" spans="1:18" ht="15.75" customHeight="1" thickTop="1" thickBot="1">
      <c r="A134" s="23" t="s">
        <v>163</v>
      </c>
      <c r="B134" s="11" t="s">
        <v>27</v>
      </c>
      <c r="C134" s="10">
        <v>45318</v>
      </c>
      <c r="D134" s="11" t="s">
        <v>14</v>
      </c>
      <c r="E134" s="9" t="s">
        <v>42</v>
      </c>
      <c r="F134" s="12">
        <v>1976</v>
      </c>
      <c r="G134" s="12">
        <v>262</v>
      </c>
      <c r="H134" s="12">
        <v>218</v>
      </c>
      <c r="I134" s="12">
        <v>51696</v>
      </c>
      <c r="J134" s="4">
        <f t="shared" si="4"/>
        <v>2456</v>
      </c>
      <c r="K134" s="12">
        <v>44846</v>
      </c>
      <c r="L134" s="12">
        <v>139</v>
      </c>
      <c r="M134" s="9" t="s">
        <v>19</v>
      </c>
      <c r="N134" s="9" t="s">
        <v>340</v>
      </c>
      <c r="O134" s="9" t="s">
        <v>20</v>
      </c>
      <c r="P134" s="89">
        <f>IFERROR(VLOOKUP(O134,'[1]Campaign Metadata'!A:C,2,FALSE),"")</f>
        <v>45717</v>
      </c>
      <c r="Q134" s="90">
        <f>IFERROR(VLOOKUP(O134,'[1]Campaign Metadata'!A:C,3,FALSE),"")</f>
        <v>45747</v>
      </c>
      <c r="R134" s="94" t="str">
        <f t="shared" si="5"/>
        <v>Before</v>
      </c>
    </row>
    <row r="135" spans="1:18" ht="15.75" customHeight="1" thickTop="1" thickBot="1">
      <c r="A135" s="22" t="s">
        <v>164</v>
      </c>
      <c r="B135" s="7" t="s">
        <v>22</v>
      </c>
      <c r="C135" s="6">
        <v>45792</v>
      </c>
      <c r="D135" s="7" t="s">
        <v>14</v>
      </c>
      <c r="E135" s="5" t="s">
        <v>24</v>
      </c>
      <c r="F135" s="8">
        <v>1583</v>
      </c>
      <c r="G135" s="8">
        <v>433</v>
      </c>
      <c r="H135" s="8">
        <v>249</v>
      </c>
      <c r="I135" s="8">
        <v>30256</v>
      </c>
      <c r="J135" s="4">
        <f t="shared" si="4"/>
        <v>2265</v>
      </c>
      <c r="K135" s="8">
        <v>47066</v>
      </c>
      <c r="L135" s="8">
        <v>196</v>
      </c>
      <c r="M135" s="5" t="s">
        <v>34</v>
      </c>
      <c r="N135" s="5"/>
      <c r="O135" s="5" t="s">
        <v>16</v>
      </c>
      <c r="P135" s="89">
        <f>IFERROR(VLOOKUP(O135,'[1]Campaign Metadata'!A:C,2,FALSE),"")</f>
        <v>45667</v>
      </c>
      <c r="Q135" s="90">
        <f>IFERROR(VLOOKUP(O135,'[1]Campaign Metadata'!A:C,3,FALSE),"")</f>
        <v>45698</v>
      </c>
      <c r="R135" s="94" t="str">
        <f t="shared" si="5"/>
        <v>After</v>
      </c>
    </row>
    <row r="136" spans="1:18" ht="15.75" customHeight="1" thickTop="1" thickBot="1">
      <c r="A136" s="23" t="s">
        <v>165</v>
      </c>
      <c r="B136" s="11" t="s">
        <v>22</v>
      </c>
      <c r="C136" s="10">
        <v>45569</v>
      </c>
      <c r="D136" s="11" t="s">
        <v>23</v>
      </c>
      <c r="E136" s="9" t="s">
        <v>18</v>
      </c>
      <c r="F136" s="12">
        <v>2870</v>
      </c>
      <c r="G136" s="12">
        <v>380</v>
      </c>
      <c r="H136" s="12">
        <v>393</v>
      </c>
      <c r="I136" s="12">
        <v>37621</v>
      </c>
      <c r="J136" s="4">
        <f t="shared" si="4"/>
        <v>3643</v>
      </c>
      <c r="K136" s="12">
        <v>71794</v>
      </c>
      <c r="L136" s="12">
        <v>127</v>
      </c>
      <c r="M136" s="9" t="s">
        <v>341</v>
      </c>
      <c r="N136" s="9" t="s">
        <v>34</v>
      </c>
      <c r="O136" s="9" t="s">
        <v>16</v>
      </c>
      <c r="P136" s="89">
        <f>IFERROR(VLOOKUP(O136,'[1]Campaign Metadata'!A:C,2,FALSE),"")</f>
        <v>45667</v>
      </c>
      <c r="Q136" s="90">
        <f>IFERROR(VLOOKUP(O136,'[1]Campaign Metadata'!A:C,3,FALSE),"")</f>
        <v>45698</v>
      </c>
      <c r="R136" s="94" t="str">
        <f t="shared" si="5"/>
        <v>Before</v>
      </c>
    </row>
    <row r="137" spans="1:18" ht="15.75" customHeight="1" thickTop="1" thickBot="1">
      <c r="A137" s="22" t="s">
        <v>166</v>
      </c>
      <c r="B137" s="7" t="s">
        <v>22</v>
      </c>
      <c r="C137" s="6">
        <v>45615</v>
      </c>
      <c r="D137" s="7" t="s">
        <v>14</v>
      </c>
      <c r="E137" s="5" t="s">
        <v>33</v>
      </c>
      <c r="F137" s="8">
        <v>3728</v>
      </c>
      <c r="G137" s="8">
        <v>271</v>
      </c>
      <c r="H137" s="8">
        <v>275</v>
      </c>
      <c r="I137" s="8">
        <v>22827</v>
      </c>
      <c r="J137" s="4">
        <f t="shared" si="4"/>
        <v>4274</v>
      </c>
      <c r="K137" s="8">
        <v>37034</v>
      </c>
      <c r="L137" s="8">
        <v>199</v>
      </c>
      <c r="M137" s="5" t="s">
        <v>34</v>
      </c>
      <c r="N137" s="5"/>
      <c r="O137" s="5" t="s">
        <v>16</v>
      </c>
      <c r="P137" s="89">
        <f>IFERROR(VLOOKUP(O137,'[1]Campaign Metadata'!A:C,2,FALSE),"")</f>
        <v>45667</v>
      </c>
      <c r="Q137" s="90">
        <f>IFERROR(VLOOKUP(O137,'[1]Campaign Metadata'!A:C,3,FALSE),"")</f>
        <v>45698</v>
      </c>
      <c r="R137" s="94" t="str">
        <f t="shared" si="5"/>
        <v>Before</v>
      </c>
    </row>
    <row r="138" spans="1:18" ht="15.75" customHeight="1" thickTop="1" thickBot="1">
      <c r="A138" s="23" t="s">
        <v>167</v>
      </c>
      <c r="B138" s="11" t="s">
        <v>22</v>
      </c>
      <c r="C138" s="10">
        <v>45387</v>
      </c>
      <c r="D138" s="11" t="s">
        <v>23</v>
      </c>
      <c r="E138" s="9" t="s">
        <v>24</v>
      </c>
      <c r="F138" s="12">
        <v>4965</v>
      </c>
      <c r="G138" s="12">
        <v>175</v>
      </c>
      <c r="H138" s="12">
        <v>307</v>
      </c>
      <c r="I138" s="12">
        <v>32793</v>
      </c>
      <c r="J138" s="4">
        <f t="shared" si="4"/>
        <v>5447</v>
      </c>
      <c r="K138" s="12">
        <v>43412</v>
      </c>
      <c r="L138" s="12">
        <v>296</v>
      </c>
      <c r="M138" s="9" t="s">
        <v>37</v>
      </c>
      <c r="N138" s="9" t="s">
        <v>34</v>
      </c>
      <c r="O138" s="9" t="s">
        <v>16</v>
      </c>
      <c r="P138" s="89">
        <f>IFERROR(VLOOKUP(O138,'[1]Campaign Metadata'!A:C,2,FALSE),"")</f>
        <v>45667</v>
      </c>
      <c r="Q138" s="90">
        <f>IFERROR(VLOOKUP(O138,'[1]Campaign Metadata'!A:C,3,FALSE),"")</f>
        <v>45698</v>
      </c>
      <c r="R138" s="94" t="str">
        <f t="shared" si="5"/>
        <v>Before</v>
      </c>
    </row>
    <row r="139" spans="1:18" ht="15.75" customHeight="1" thickTop="1" thickBot="1">
      <c r="A139" s="22" t="s">
        <v>168</v>
      </c>
      <c r="B139" s="7" t="s">
        <v>22</v>
      </c>
      <c r="C139" s="6">
        <v>45624</v>
      </c>
      <c r="D139" s="7" t="s">
        <v>23</v>
      </c>
      <c r="E139" s="5" t="s">
        <v>24</v>
      </c>
      <c r="F139" s="8">
        <v>1131</v>
      </c>
      <c r="G139" s="8">
        <v>100</v>
      </c>
      <c r="H139" s="8">
        <v>116</v>
      </c>
      <c r="I139" s="8">
        <v>48437</v>
      </c>
      <c r="J139" s="4">
        <f t="shared" si="4"/>
        <v>1347</v>
      </c>
      <c r="K139" s="8">
        <v>72704</v>
      </c>
      <c r="L139" s="8">
        <v>236</v>
      </c>
      <c r="M139" s="5" t="s">
        <v>19</v>
      </c>
      <c r="N139" s="5" t="s">
        <v>341</v>
      </c>
      <c r="O139" s="5" t="s">
        <v>16</v>
      </c>
      <c r="P139" s="89">
        <f>IFERROR(VLOOKUP(O139,'[1]Campaign Metadata'!A:C,2,FALSE),"")</f>
        <v>45667</v>
      </c>
      <c r="Q139" s="90">
        <f>IFERROR(VLOOKUP(O139,'[1]Campaign Metadata'!A:C,3,FALSE),"")</f>
        <v>45698</v>
      </c>
      <c r="R139" s="94" t="str">
        <f t="shared" si="5"/>
        <v>Before</v>
      </c>
    </row>
    <row r="140" spans="1:18" ht="15.75" customHeight="1" thickTop="1" thickBot="1">
      <c r="A140" s="23" t="s">
        <v>169</v>
      </c>
      <c r="B140" s="11" t="s">
        <v>22</v>
      </c>
      <c r="C140" s="10">
        <v>45725</v>
      </c>
      <c r="D140" s="11" t="s">
        <v>14</v>
      </c>
      <c r="E140" s="9" t="s">
        <v>42</v>
      </c>
      <c r="F140" s="12">
        <v>2754</v>
      </c>
      <c r="G140" s="12">
        <v>215</v>
      </c>
      <c r="H140" s="12">
        <v>264</v>
      </c>
      <c r="I140" s="12">
        <v>27762</v>
      </c>
      <c r="J140" s="4">
        <f t="shared" si="4"/>
        <v>3233</v>
      </c>
      <c r="K140" s="12">
        <v>70203</v>
      </c>
      <c r="L140" s="12">
        <v>289</v>
      </c>
      <c r="M140" s="9" t="s">
        <v>34</v>
      </c>
      <c r="N140" s="9"/>
      <c r="O140" s="9" t="s">
        <v>16</v>
      </c>
      <c r="P140" s="89">
        <f>IFERROR(VLOOKUP(O140,'[1]Campaign Metadata'!A:C,2,FALSE),"")</f>
        <v>45667</v>
      </c>
      <c r="Q140" s="90">
        <f>IFERROR(VLOOKUP(O140,'[1]Campaign Metadata'!A:C,3,FALSE),"")</f>
        <v>45698</v>
      </c>
      <c r="R140" s="94" t="str">
        <f t="shared" si="5"/>
        <v>After</v>
      </c>
    </row>
    <row r="141" spans="1:18" ht="15.75" customHeight="1" thickTop="1" thickBot="1">
      <c r="A141" s="22" t="s">
        <v>170</v>
      </c>
      <c r="B141" s="7" t="s">
        <v>22</v>
      </c>
      <c r="C141" s="6">
        <v>45531</v>
      </c>
      <c r="D141" s="7" t="s">
        <v>23</v>
      </c>
      <c r="E141" s="5" t="s">
        <v>24</v>
      </c>
      <c r="F141" s="8">
        <v>1856</v>
      </c>
      <c r="G141" s="8">
        <v>357</v>
      </c>
      <c r="H141" s="8">
        <v>348</v>
      </c>
      <c r="I141" s="8">
        <v>29428</v>
      </c>
      <c r="J141" s="4">
        <f t="shared" si="4"/>
        <v>2561</v>
      </c>
      <c r="K141" s="8">
        <v>70206</v>
      </c>
      <c r="L141" s="8">
        <v>236</v>
      </c>
      <c r="M141" s="5" t="s">
        <v>341</v>
      </c>
      <c r="N141" s="5" t="s">
        <v>34</v>
      </c>
      <c r="O141" s="5" t="s">
        <v>16</v>
      </c>
      <c r="P141" s="89">
        <f>IFERROR(VLOOKUP(O141,'[1]Campaign Metadata'!A:C,2,FALSE),"")</f>
        <v>45667</v>
      </c>
      <c r="Q141" s="90">
        <f>IFERROR(VLOOKUP(O141,'[1]Campaign Metadata'!A:C,3,FALSE),"")</f>
        <v>45698</v>
      </c>
      <c r="R141" s="94" t="str">
        <f t="shared" si="5"/>
        <v>Before</v>
      </c>
    </row>
    <row r="142" spans="1:18" ht="15.75" customHeight="1" thickTop="1" thickBot="1">
      <c r="A142" s="23" t="s">
        <v>171</v>
      </c>
      <c r="B142" s="11" t="s">
        <v>27</v>
      </c>
      <c r="C142" s="10">
        <v>45566</v>
      </c>
      <c r="D142" s="11" t="s">
        <v>48</v>
      </c>
      <c r="E142" s="9" t="s">
        <v>18</v>
      </c>
      <c r="F142" s="12">
        <v>3543</v>
      </c>
      <c r="G142" s="12">
        <v>334</v>
      </c>
      <c r="H142" s="12">
        <v>218</v>
      </c>
      <c r="I142" s="12">
        <v>58007</v>
      </c>
      <c r="J142" s="4">
        <f t="shared" si="4"/>
        <v>4095</v>
      </c>
      <c r="K142" s="12">
        <v>24792</v>
      </c>
      <c r="L142" s="12">
        <v>273</v>
      </c>
      <c r="M142" s="9" t="s">
        <v>19</v>
      </c>
      <c r="N142" s="9" t="s">
        <v>37</v>
      </c>
      <c r="O142" s="9" t="s">
        <v>49</v>
      </c>
      <c r="P142" s="89">
        <f>IFERROR(VLOOKUP(O142,'[1]Campaign Metadata'!A:C,2,FALSE),"")</f>
        <v>45458</v>
      </c>
      <c r="Q142" s="90">
        <f>IFERROR(VLOOKUP(O142,'[1]Campaign Metadata'!A:C,3,FALSE),"")</f>
        <v>45488</v>
      </c>
      <c r="R142" s="94" t="str">
        <f t="shared" si="5"/>
        <v>After</v>
      </c>
    </row>
    <row r="143" spans="1:18" ht="15.75" customHeight="1" thickTop="1" thickBot="1">
      <c r="A143" s="22" t="s">
        <v>172</v>
      </c>
      <c r="B143" s="7" t="s">
        <v>13</v>
      </c>
      <c r="C143" s="6">
        <v>45647</v>
      </c>
      <c r="D143" s="7" t="s">
        <v>23</v>
      </c>
      <c r="E143" s="5" t="s">
        <v>24</v>
      </c>
      <c r="F143" s="8">
        <v>4563</v>
      </c>
      <c r="G143" s="8">
        <v>398</v>
      </c>
      <c r="H143" s="8">
        <v>163</v>
      </c>
      <c r="I143" s="8">
        <v>43679</v>
      </c>
      <c r="J143" s="4">
        <f t="shared" si="4"/>
        <v>5124</v>
      </c>
      <c r="K143" s="8">
        <v>48760</v>
      </c>
      <c r="L143" s="8">
        <v>92</v>
      </c>
      <c r="M143" s="5" t="s">
        <v>34</v>
      </c>
      <c r="N143" s="5"/>
      <c r="O143" s="5" t="s">
        <v>46</v>
      </c>
      <c r="P143" s="89">
        <f>IFERROR(VLOOKUP(O143,'[1]Campaign Metadata'!A:C,2,FALSE),"")</f>
        <v>45627</v>
      </c>
      <c r="Q143" s="90">
        <f>IFERROR(VLOOKUP(O143,'[1]Campaign Metadata'!A:C,3,FALSE),"")</f>
        <v>45657</v>
      </c>
      <c r="R143" s="94" t="str">
        <f t="shared" si="5"/>
        <v>During</v>
      </c>
    </row>
    <row r="144" spans="1:18" ht="15.75" customHeight="1" thickTop="1" thickBot="1">
      <c r="A144" s="23" t="s">
        <v>173</v>
      </c>
      <c r="B144" s="11" t="s">
        <v>13</v>
      </c>
      <c r="C144" s="10">
        <v>45460</v>
      </c>
      <c r="D144" s="11" t="s">
        <v>14</v>
      </c>
      <c r="E144" s="9" t="s">
        <v>15</v>
      </c>
      <c r="F144" s="12">
        <v>4283</v>
      </c>
      <c r="G144" s="12">
        <v>471</v>
      </c>
      <c r="H144" s="12">
        <v>156</v>
      </c>
      <c r="I144" s="12">
        <v>53004</v>
      </c>
      <c r="J144" s="4">
        <f t="shared" si="4"/>
        <v>4910</v>
      </c>
      <c r="K144" s="12">
        <v>25678</v>
      </c>
      <c r="L144" s="12">
        <v>105</v>
      </c>
      <c r="M144" s="9" t="s">
        <v>19</v>
      </c>
      <c r="N144" s="9"/>
      <c r="O144" s="9" t="s">
        <v>20</v>
      </c>
      <c r="P144" s="89">
        <f>IFERROR(VLOOKUP(O144,'[1]Campaign Metadata'!A:C,2,FALSE),"")</f>
        <v>45717</v>
      </c>
      <c r="Q144" s="90">
        <f>IFERROR(VLOOKUP(O144,'[1]Campaign Metadata'!A:C,3,FALSE),"")</f>
        <v>45747</v>
      </c>
      <c r="R144" s="94" t="str">
        <f t="shared" si="5"/>
        <v>Before</v>
      </c>
    </row>
    <row r="145" spans="1:18" ht="15.75" customHeight="1" thickTop="1" thickBot="1">
      <c r="A145" s="22" t="s">
        <v>174</v>
      </c>
      <c r="B145" s="7" t="s">
        <v>13</v>
      </c>
      <c r="C145" s="6">
        <v>45702</v>
      </c>
      <c r="D145" s="7" t="s">
        <v>14</v>
      </c>
      <c r="E145" s="5" t="s">
        <v>15</v>
      </c>
      <c r="F145" s="8">
        <v>2329</v>
      </c>
      <c r="G145" s="8">
        <v>373</v>
      </c>
      <c r="H145" s="8">
        <v>291</v>
      </c>
      <c r="I145" s="8">
        <v>49577</v>
      </c>
      <c r="J145" s="4">
        <f t="shared" si="4"/>
        <v>2993</v>
      </c>
      <c r="K145" s="8">
        <v>28002</v>
      </c>
      <c r="L145" s="8">
        <v>82</v>
      </c>
      <c r="M145" s="5" t="s">
        <v>37</v>
      </c>
      <c r="N145" s="5" t="s">
        <v>34</v>
      </c>
      <c r="O145" s="5" t="s">
        <v>16</v>
      </c>
      <c r="P145" s="89">
        <f>IFERROR(VLOOKUP(O145,'[1]Campaign Metadata'!A:C,2,FALSE),"")</f>
        <v>45667</v>
      </c>
      <c r="Q145" s="90">
        <f>IFERROR(VLOOKUP(O145,'[1]Campaign Metadata'!A:C,3,FALSE),"")</f>
        <v>45698</v>
      </c>
      <c r="R145" s="94" t="str">
        <f t="shared" si="5"/>
        <v>After</v>
      </c>
    </row>
    <row r="146" spans="1:18" ht="15.75" customHeight="1" thickTop="1" thickBot="1">
      <c r="A146" s="23" t="s">
        <v>175</v>
      </c>
      <c r="B146" s="11" t="s">
        <v>22</v>
      </c>
      <c r="C146" s="10">
        <v>45805</v>
      </c>
      <c r="D146" s="11" t="s">
        <v>23</v>
      </c>
      <c r="E146" s="9" t="s">
        <v>33</v>
      </c>
      <c r="F146" s="12">
        <v>4287</v>
      </c>
      <c r="G146" s="12">
        <v>273</v>
      </c>
      <c r="H146" s="12">
        <v>122</v>
      </c>
      <c r="I146" s="12">
        <v>40792</v>
      </c>
      <c r="J146" s="4">
        <f t="shared" si="4"/>
        <v>4682</v>
      </c>
      <c r="K146" s="12">
        <v>23878</v>
      </c>
      <c r="L146" s="12">
        <v>277</v>
      </c>
      <c r="M146" s="9" t="s">
        <v>341</v>
      </c>
      <c r="N146" s="9" t="s">
        <v>34</v>
      </c>
      <c r="O146" s="9" t="s">
        <v>16</v>
      </c>
      <c r="P146" s="89">
        <f>IFERROR(VLOOKUP(O146,'[1]Campaign Metadata'!A:C,2,FALSE),"")</f>
        <v>45667</v>
      </c>
      <c r="Q146" s="90">
        <f>IFERROR(VLOOKUP(O146,'[1]Campaign Metadata'!A:C,3,FALSE),"")</f>
        <v>45698</v>
      </c>
      <c r="R146" s="94" t="str">
        <f t="shared" si="5"/>
        <v>After</v>
      </c>
    </row>
    <row r="147" spans="1:18" ht="15.75" customHeight="1" thickTop="1" thickBot="1">
      <c r="A147" s="22" t="s">
        <v>176</v>
      </c>
      <c r="B147" s="7" t="s">
        <v>13</v>
      </c>
      <c r="C147" s="6">
        <v>45799</v>
      </c>
      <c r="D147" s="7" t="s">
        <v>14</v>
      </c>
      <c r="E147" s="5" t="s">
        <v>15</v>
      </c>
      <c r="F147" s="8">
        <v>2633</v>
      </c>
      <c r="G147" s="8">
        <v>318</v>
      </c>
      <c r="H147" s="8">
        <v>380</v>
      </c>
      <c r="I147" s="8">
        <v>40869</v>
      </c>
      <c r="J147" s="4">
        <f t="shared" si="4"/>
        <v>3331</v>
      </c>
      <c r="K147" s="8">
        <v>64474</v>
      </c>
      <c r="L147" s="8">
        <v>245</v>
      </c>
      <c r="M147" s="5" t="s">
        <v>19</v>
      </c>
      <c r="N147" s="5"/>
      <c r="O147" s="5" t="s">
        <v>20</v>
      </c>
      <c r="P147" s="89">
        <f>IFERROR(VLOOKUP(O147,'[1]Campaign Metadata'!A:C,2,FALSE),"")</f>
        <v>45717</v>
      </c>
      <c r="Q147" s="90">
        <f>IFERROR(VLOOKUP(O147,'[1]Campaign Metadata'!A:C,3,FALSE),"")</f>
        <v>45747</v>
      </c>
      <c r="R147" s="94" t="str">
        <f t="shared" si="5"/>
        <v>After</v>
      </c>
    </row>
    <row r="148" spans="1:18" ht="15.75" customHeight="1" thickTop="1" thickBot="1">
      <c r="A148" s="23" t="s">
        <v>177</v>
      </c>
      <c r="B148" s="11" t="s">
        <v>22</v>
      </c>
      <c r="C148" s="10">
        <v>45312</v>
      </c>
      <c r="D148" s="11" t="s">
        <v>23</v>
      </c>
      <c r="E148" s="9" t="s">
        <v>15</v>
      </c>
      <c r="F148" s="12">
        <v>2383</v>
      </c>
      <c r="G148" s="12">
        <v>136</v>
      </c>
      <c r="H148" s="12">
        <v>302</v>
      </c>
      <c r="I148" s="12">
        <v>39187</v>
      </c>
      <c r="J148" s="4">
        <f t="shared" si="4"/>
        <v>2821</v>
      </c>
      <c r="K148" s="12">
        <v>22133</v>
      </c>
      <c r="L148" s="12">
        <v>208</v>
      </c>
      <c r="M148" s="9" t="s">
        <v>341</v>
      </c>
      <c r="N148" s="9" t="s">
        <v>34</v>
      </c>
      <c r="O148" s="9" t="s">
        <v>16</v>
      </c>
      <c r="P148" s="89">
        <f>IFERROR(VLOOKUP(O148,'[1]Campaign Metadata'!A:C,2,FALSE),"")</f>
        <v>45667</v>
      </c>
      <c r="Q148" s="90">
        <f>IFERROR(VLOOKUP(O148,'[1]Campaign Metadata'!A:C,3,FALSE),"")</f>
        <v>45698</v>
      </c>
      <c r="R148" s="94" t="str">
        <f t="shared" si="5"/>
        <v>Before</v>
      </c>
    </row>
    <row r="149" spans="1:18" ht="15.75" customHeight="1" thickTop="1" thickBot="1">
      <c r="A149" s="22" t="s">
        <v>178</v>
      </c>
      <c r="B149" s="7" t="s">
        <v>22</v>
      </c>
      <c r="C149" s="6">
        <v>45696</v>
      </c>
      <c r="D149" s="7" t="s">
        <v>23</v>
      </c>
      <c r="E149" s="5" t="s">
        <v>42</v>
      </c>
      <c r="F149" s="8">
        <v>4752</v>
      </c>
      <c r="G149" s="8">
        <v>334</v>
      </c>
      <c r="H149" s="8">
        <v>56</v>
      </c>
      <c r="I149" s="8">
        <v>48017</v>
      </c>
      <c r="J149" s="4">
        <f t="shared" si="4"/>
        <v>5142</v>
      </c>
      <c r="K149" s="8">
        <v>55534</v>
      </c>
      <c r="L149" s="8">
        <v>270</v>
      </c>
      <c r="M149" s="5" t="s">
        <v>19</v>
      </c>
      <c r="N149" s="5" t="s">
        <v>341</v>
      </c>
      <c r="O149" s="5" t="s">
        <v>16</v>
      </c>
      <c r="P149" s="89">
        <f>IFERROR(VLOOKUP(O149,'[1]Campaign Metadata'!A:C,2,FALSE),"")</f>
        <v>45667</v>
      </c>
      <c r="Q149" s="90">
        <f>IFERROR(VLOOKUP(O149,'[1]Campaign Metadata'!A:C,3,FALSE),"")</f>
        <v>45698</v>
      </c>
      <c r="R149" s="94" t="str">
        <f t="shared" si="5"/>
        <v>During</v>
      </c>
    </row>
    <row r="150" spans="1:18" ht="15.75" customHeight="1" thickTop="1" thickBot="1">
      <c r="A150" s="23" t="s">
        <v>179</v>
      </c>
      <c r="B150" s="11" t="s">
        <v>22</v>
      </c>
      <c r="C150" s="10">
        <v>45760</v>
      </c>
      <c r="D150" s="11" t="s">
        <v>14</v>
      </c>
      <c r="E150" s="9" t="s">
        <v>347</v>
      </c>
      <c r="F150" s="12">
        <v>3890</v>
      </c>
      <c r="G150" s="12">
        <v>408</v>
      </c>
      <c r="H150" s="12">
        <v>338</v>
      </c>
      <c r="I150" s="12">
        <v>56994</v>
      </c>
      <c r="J150" s="4">
        <f t="shared" si="4"/>
        <v>4636</v>
      </c>
      <c r="K150" s="12">
        <v>32621</v>
      </c>
      <c r="L150" s="12">
        <v>286</v>
      </c>
      <c r="M150" s="9" t="s">
        <v>37</v>
      </c>
      <c r="N150" s="9"/>
      <c r="O150" s="9" t="s">
        <v>20</v>
      </c>
      <c r="P150" s="89">
        <f>IFERROR(VLOOKUP(O150,'[1]Campaign Metadata'!A:C,2,FALSE),"")</f>
        <v>45717</v>
      </c>
      <c r="Q150" s="90">
        <f>IFERROR(VLOOKUP(O150,'[1]Campaign Metadata'!A:C,3,FALSE),"")</f>
        <v>45747</v>
      </c>
      <c r="R150" s="94" t="str">
        <f t="shared" si="5"/>
        <v>After</v>
      </c>
    </row>
    <row r="151" spans="1:18" ht="15.75" customHeight="1" thickTop="1" thickBot="1">
      <c r="A151" s="22" t="s">
        <v>180</v>
      </c>
      <c r="B151" s="7" t="s">
        <v>22</v>
      </c>
      <c r="C151" s="6">
        <v>45442</v>
      </c>
      <c r="D151" s="7" t="s">
        <v>23</v>
      </c>
      <c r="E151" s="5" t="s">
        <v>42</v>
      </c>
      <c r="F151" s="8">
        <v>2311</v>
      </c>
      <c r="G151" s="8">
        <v>207</v>
      </c>
      <c r="H151" s="8">
        <v>363</v>
      </c>
      <c r="I151" s="8">
        <v>30349</v>
      </c>
      <c r="J151" s="4">
        <f t="shared" si="4"/>
        <v>2881</v>
      </c>
      <c r="K151" s="8">
        <v>32925</v>
      </c>
      <c r="L151" s="8">
        <v>88</v>
      </c>
      <c r="M151" s="5" t="s">
        <v>341</v>
      </c>
      <c r="N151" s="5" t="s">
        <v>34</v>
      </c>
      <c r="O151" s="5" t="s">
        <v>16</v>
      </c>
      <c r="P151" s="89">
        <f>IFERROR(VLOOKUP(O151,'[1]Campaign Metadata'!A:C,2,FALSE),"")</f>
        <v>45667</v>
      </c>
      <c r="Q151" s="90">
        <f>IFERROR(VLOOKUP(O151,'[1]Campaign Metadata'!A:C,3,FALSE),"")</f>
        <v>45698</v>
      </c>
      <c r="R151" s="94" t="str">
        <f t="shared" si="5"/>
        <v>Before</v>
      </c>
    </row>
    <row r="152" spans="1:18" ht="15.75" customHeight="1" thickTop="1" thickBot="1">
      <c r="A152" s="23" t="s">
        <v>181</v>
      </c>
      <c r="B152" s="11" t="s">
        <v>13</v>
      </c>
      <c r="C152" s="10">
        <v>45516</v>
      </c>
      <c r="D152" s="11" t="s">
        <v>23</v>
      </c>
      <c r="E152" s="9" t="s">
        <v>15</v>
      </c>
      <c r="F152" s="12">
        <v>2962</v>
      </c>
      <c r="G152" s="12">
        <v>400</v>
      </c>
      <c r="H152" s="12">
        <v>280</v>
      </c>
      <c r="I152" s="12">
        <v>52508</v>
      </c>
      <c r="J152" s="4">
        <f t="shared" si="4"/>
        <v>3642</v>
      </c>
      <c r="K152" s="12">
        <v>58329</v>
      </c>
      <c r="L152" s="12">
        <v>219</v>
      </c>
      <c r="M152" s="9" t="s">
        <v>34</v>
      </c>
      <c r="N152" s="9"/>
      <c r="O152" s="9" t="s">
        <v>46</v>
      </c>
      <c r="P152" s="89">
        <f>IFERROR(VLOOKUP(O152,'[1]Campaign Metadata'!A:C,2,FALSE),"")</f>
        <v>45627</v>
      </c>
      <c r="Q152" s="90">
        <f>IFERROR(VLOOKUP(O152,'[1]Campaign Metadata'!A:C,3,FALSE),"")</f>
        <v>45657</v>
      </c>
      <c r="R152" s="94" t="str">
        <f t="shared" si="5"/>
        <v>Before</v>
      </c>
    </row>
    <row r="153" spans="1:18" ht="15.75" customHeight="1" thickTop="1" thickBot="1">
      <c r="A153" s="22" t="s">
        <v>182</v>
      </c>
      <c r="B153" s="7" t="s">
        <v>13</v>
      </c>
      <c r="C153" s="6">
        <v>45562</v>
      </c>
      <c r="D153" s="7" t="s">
        <v>14</v>
      </c>
      <c r="E153" s="5" t="s">
        <v>15</v>
      </c>
      <c r="F153" s="8">
        <v>3118</v>
      </c>
      <c r="G153" s="8">
        <v>116</v>
      </c>
      <c r="H153" s="8">
        <v>195</v>
      </c>
      <c r="I153" s="8">
        <v>37100</v>
      </c>
      <c r="J153" s="4">
        <f t="shared" si="4"/>
        <v>3429</v>
      </c>
      <c r="K153" s="8">
        <v>62629</v>
      </c>
      <c r="L153" s="8">
        <v>272</v>
      </c>
      <c r="M153" s="5" t="s">
        <v>19</v>
      </c>
      <c r="N153" s="5"/>
      <c r="O153" s="5" t="s">
        <v>20</v>
      </c>
      <c r="P153" s="89">
        <f>IFERROR(VLOOKUP(O153,'[1]Campaign Metadata'!A:C,2,FALSE),"")</f>
        <v>45717</v>
      </c>
      <c r="Q153" s="90">
        <f>IFERROR(VLOOKUP(O153,'[1]Campaign Metadata'!A:C,3,FALSE),"")</f>
        <v>45747</v>
      </c>
      <c r="R153" s="94" t="str">
        <f t="shared" si="5"/>
        <v>Before</v>
      </c>
    </row>
    <row r="154" spans="1:18" ht="15.75" customHeight="1" thickTop="1" thickBot="1">
      <c r="A154" s="23" t="s">
        <v>183</v>
      </c>
      <c r="B154" s="11" t="s">
        <v>22</v>
      </c>
      <c r="C154" s="10">
        <v>45819</v>
      </c>
      <c r="D154" s="11" t="s">
        <v>23</v>
      </c>
      <c r="E154" s="9" t="s">
        <v>18</v>
      </c>
      <c r="F154" s="12">
        <v>3805</v>
      </c>
      <c r="G154" s="12">
        <v>453</v>
      </c>
      <c r="H154" s="12">
        <v>63</v>
      </c>
      <c r="I154" s="12">
        <v>52395</v>
      </c>
      <c r="J154" s="4">
        <f t="shared" si="4"/>
        <v>4321</v>
      </c>
      <c r="K154" s="12">
        <v>72934</v>
      </c>
      <c r="L154" s="12">
        <v>87</v>
      </c>
      <c r="M154" s="9" t="s">
        <v>19</v>
      </c>
      <c r="N154" s="9" t="s">
        <v>341</v>
      </c>
      <c r="O154" s="9" t="s">
        <v>16</v>
      </c>
      <c r="P154" s="89">
        <f>IFERROR(VLOOKUP(O154,'[1]Campaign Metadata'!A:C,2,FALSE),"")</f>
        <v>45667</v>
      </c>
      <c r="Q154" s="90">
        <f>IFERROR(VLOOKUP(O154,'[1]Campaign Metadata'!A:C,3,FALSE),"")</f>
        <v>45698</v>
      </c>
      <c r="R154" s="94" t="str">
        <f t="shared" si="5"/>
        <v>After</v>
      </c>
    </row>
    <row r="155" spans="1:18" ht="15.75" customHeight="1" thickTop="1" thickBot="1">
      <c r="A155" s="22" t="s">
        <v>184</v>
      </c>
      <c r="B155" s="7" t="s">
        <v>13</v>
      </c>
      <c r="C155" s="6">
        <v>45615</v>
      </c>
      <c r="D155" s="7" t="s">
        <v>14</v>
      </c>
      <c r="E155" s="5" t="s">
        <v>346</v>
      </c>
      <c r="F155" s="8">
        <v>2525</v>
      </c>
      <c r="G155" s="8">
        <v>272</v>
      </c>
      <c r="H155" s="8">
        <v>294</v>
      </c>
      <c r="I155" s="8">
        <v>51875</v>
      </c>
      <c r="J155" s="4">
        <f t="shared" si="4"/>
        <v>3091</v>
      </c>
      <c r="K155" s="8">
        <v>24732</v>
      </c>
      <c r="L155" s="8">
        <v>92</v>
      </c>
      <c r="M155" s="5" t="s">
        <v>19</v>
      </c>
      <c r="N155" s="5"/>
      <c r="O155" s="5" t="s">
        <v>20</v>
      </c>
      <c r="P155" s="89">
        <f>IFERROR(VLOOKUP(O155,'[1]Campaign Metadata'!A:C,2,FALSE),"")</f>
        <v>45717</v>
      </c>
      <c r="Q155" s="90">
        <f>IFERROR(VLOOKUP(O155,'[1]Campaign Metadata'!A:C,3,FALSE),"")</f>
        <v>45747</v>
      </c>
      <c r="R155" s="94" t="str">
        <f t="shared" si="5"/>
        <v>Before</v>
      </c>
    </row>
    <row r="156" spans="1:18" ht="15.75" customHeight="1" thickTop="1" thickBot="1">
      <c r="A156" s="23" t="s">
        <v>185</v>
      </c>
      <c r="B156" s="11" t="s">
        <v>13</v>
      </c>
      <c r="C156" s="10">
        <v>45407</v>
      </c>
      <c r="D156" s="11" t="s">
        <v>14</v>
      </c>
      <c r="E156" s="9" t="s">
        <v>345</v>
      </c>
      <c r="F156" s="12">
        <v>3563</v>
      </c>
      <c r="G156" s="12">
        <v>483</v>
      </c>
      <c r="H156" s="12">
        <v>227</v>
      </c>
      <c r="I156" s="12">
        <v>41085</v>
      </c>
      <c r="J156" s="4">
        <f t="shared" si="4"/>
        <v>4273</v>
      </c>
      <c r="K156" s="12">
        <v>26393</v>
      </c>
      <c r="L156" s="12">
        <v>236</v>
      </c>
      <c r="M156" s="9" t="s">
        <v>37</v>
      </c>
      <c r="N156" s="9" t="s">
        <v>34</v>
      </c>
      <c r="O156" s="9" t="s">
        <v>16</v>
      </c>
      <c r="P156" s="89">
        <f>IFERROR(VLOOKUP(O156,'[1]Campaign Metadata'!A:C,2,FALSE),"")</f>
        <v>45667</v>
      </c>
      <c r="Q156" s="90">
        <f>IFERROR(VLOOKUP(O156,'[1]Campaign Metadata'!A:C,3,FALSE),"")</f>
        <v>45698</v>
      </c>
      <c r="R156" s="94" t="str">
        <f t="shared" si="5"/>
        <v>Before</v>
      </c>
    </row>
    <row r="157" spans="1:18" ht="15.75" customHeight="1" thickTop="1" thickBot="1">
      <c r="A157" s="22" t="s">
        <v>186</v>
      </c>
      <c r="B157" s="7" t="s">
        <v>27</v>
      </c>
      <c r="C157" s="6">
        <v>45538</v>
      </c>
      <c r="D157" s="7" t="s">
        <v>48</v>
      </c>
      <c r="E157" s="5" t="s">
        <v>346</v>
      </c>
      <c r="F157" s="8">
        <v>1437</v>
      </c>
      <c r="G157" s="8">
        <v>494</v>
      </c>
      <c r="H157" s="8">
        <v>129</v>
      </c>
      <c r="I157" s="8">
        <v>53048</v>
      </c>
      <c r="J157" s="4">
        <f t="shared" si="4"/>
        <v>2060</v>
      </c>
      <c r="K157" s="8">
        <v>44090</v>
      </c>
      <c r="L157" s="8">
        <v>230</v>
      </c>
      <c r="M157" s="5" t="s">
        <v>19</v>
      </c>
      <c r="N157" s="5" t="s">
        <v>37</v>
      </c>
      <c r="O157" s="5" t="s">
        <v>49</v>
      </c>
      <c r="P157" s="89">
        <f>IFERROR(VLOOKUP(O157,'[1]Campaign Metadata'!A:C,2,FALSE),"")</f>
        <v>45458</v>
      </c>
      <c r="Q157" s="90">
        <f>IFERROR(VLOOKUP(O157,'[1]Campaign Metadata'!A:C,3,FALSE),"")</f>
        <v>45488</v>
      </c>
      <c r="R157" s="94" t="str">
        <f t="shared" si="5"/>
        <v>After</v>
      </c>
    </row>
    <row r="158" spans="1:18" ht="15.75" customHeight="1" thickTop="1" thickBot="1">
      <c r="A158" s="23" t="s">
        <v>187</v>
      </c>
      <c r="B158" s="11" t="s">
        <v>27</v>
      </c>
      <c r="C158" s="10">
        <v>45718</v>
      </c>
      <c r="D158" s="11" t="s">
        <v>14</v>
      </c>
      <c r="E158" s="9" t="s">
        <v>347</v>
      </c>
      <c r="F158" s="12">
        <v>4425</v>
      </c>
      <c r="G158" s="12">
        <v>185</v>
      </c>
      <c r="H158" s="12">
        <v>162</v>
      </c>
      <c r="I158" s="12">
        <v>24610</v>
      </c>
      <c r="J158" s="4">
        <f t="shared" si="4"/>
        <v>4772</v>
      </c>
      <c r="K158" s="12">
        <v>21342</v>
      </c>
      <c r="L158" s="12">
        <v>158</v>
      </c>
      <c r="M158" s="9" t="s">
        <v>19</v>
      </c>
      <c r="N158" s="9" t="s">
        <v>340</v>
      </c>
      <c r="O158" s="9" t="s">
        <v>20</v>
      </c>
      <c r="P158" s="89">
        <f>IFERROR(VLOOKUP(O158,'[1]Campaign Metadata'!A:C,2,FALSE),"")</f>
        <v>45717</v>
      </c>
      <c r="Q158" s="90">
        <f>IFERROR(VLOOKUP(O158,'[1]Campaign Metadata'!A:C,3,FALSE),"")</f>
        <v>45747</v>
      </c>
      <c r="R158" s="94" t="str">
        <f t="shared" si="5"/>
        <v>During</v>
      </c>
    </row>
    <row r="159" spans="1:18" ht="15.75" customHeight="1" thickTop="1" thickBot="1">
      <c r="A159" s="22" t="s">
        <v>188</v>
      </c>
      <c r="B159" s="7" t="s">
        <v>22</v>
      </c>
      <c r="C159" s="6">
        <v>45737</v>
      </c>
      <c r="D159" s="7" t="s">
        <v>23</v>
      </c>
      <c r="E159" s="5" t="s">
        <v>24</v>
      </c>
      <c r="F159" s="8">
        <v>4609</v>
      </c>
      <c r="G159" s="8">
        <v>427</v>
      </c>
      <c r="H159" s="8">
        <v>395</v>
      </c>
      <c r="I159" s="8">
        <v>33698</v>
      </c>
      <c r="J159" s="4">
        <f t="shared" si="4"/>
        <v>5431</v>
      </c>
      <c r="K159" s="8">
        <v>29259</v>
      </c>
      <c r="L159" s="8">
        <v>216</v>
      </c>
      <c r="M159" s="5" t="s">
        <v>19</v>
      </c>
      <c r="N159" s="5" t="s">
        <v>341</v>
      </c>
      <c r="O159" s="5" t="s">
        <v>16</v>
      </c>
      <c r="P159" s="89">
        <f>IFERROR(VLOOKUP(O159,'[1]Campaign Metadata'!A:C,2,FALSE),"")</f>
        <v>45667</v>
      </c>
      <c r="Q159" s="90">
        <f>IFERROR(VLOOKUP(O159,'[1]Campaign Metadata'!A:C,3,FALSE),"")</f>
        <v>45698</v>
      </c>
      <c r="R159" s="94" t="str">
        <f t="shared" si="5"/>
        <v>After</v>
      </c>
    </row>
    <row r="160" spans="1:18" ht="15.75" customHeight="1" thickTop="1" thickBot="1">
      <c r="A160" s="23" t="s">
        <v>189</v>
      </c>
      <c r="B160" s="11" t="s">
        <v>13</v>
      </c>
      <c r="C160" s="10">
        <v>45394</v>
      </c>
      <c r="D160" s="11" t="s">
        <v>23</v>
      </c>
      <c r="E160" s="9" t="s">
        <v>30</v>
      </c>
      <c r="F160" s="12">
        <v>1558</v>
      </c>
      <c r="G160" s="12">
        <v>352</v>
      </c>
      <c r="H160" s="12">
        <v>202</v>
      </c>
      <c r="I160" s="12">
        <v>25405</v>
      </c>
      <c r="J160" s="4">
        <f t="shared" si="4"/>
        <v>2112</v>
      </c>
      <c r="K160" s="12">
        <v>69941</v>
      </c>
      <c r="L160" s="12">
        <v>219</v>
      </c>
      <c r="M160" s="9" t="s">
        <v>34</v>
      </c>
      <c r="N160" s="9"/>
      <c r="O160" s="9" t="s">
        <v>46</v>
      </c>
      <c r="P160" s="89">
        <f>IFERROR(VLOOKUP(O160,'[1]Campaign Metadata'!A:C,2,FALSE),"")</f>
        <v>45627</v>
      </c>
      <c r="Q160" s="90">
        <f>IFERROR(VLOOKUP(O160,'[1]Campaign Metadata'!A:C,3,FALSE),"")</f>
        <v>45657</v>
      </c>
      <c r="R160" s="94" t="str">
        <f t="shared" si="5"/>
        <v>Before</v>
      </c>
    </row>
    <row r="161" spans="1:18" ht="15.75" customHeight="1" thickTop="1" thickBot="1">
      <c r="A161" s="22" t="s">
        <v>190</v>
      </c>
      <c r="B161" s="7" t="s">
        <v>27</v>
      </c>
      <c r="C161" s="6">
        <v>45330</v>
      </c>
      <c r="D161" s="7" t="s">
        <v>48</v>
      </c>
      <c r="E161" s="5" t="s">
        <v>33</v>
      </c>
      <c r="F161" s="8">
        <v>1889</v>
      </c>
      <c r="G161" s="8">
        <v>298</v>
      </c>
      <c r="H161" s="8">
        <v>122</v>
      </c>
      <c r="I161" s="8">
        <v>46225</v>
      </c>
      <c r="J161" s="4">
        <f t="shared" si="4"/>
        <v>2309</v>
      </c>
      <c r="K161" s="8">
        <v>74305</v>
      </c>
      <c r="L161" s="8">
        <v>293</v>
      </c>
      <c r="M161" s="5" t="s">
        <v>19</v>
      </c>
      <c r="N161" s="5" t="s">
        <v>37</v>
      </c>
      <c r="O161" s="5" t="s">
        <v>49</v>
      </c>
      <c r="P161" s="89">
        <f>IFERROR(VLOOKUP(O161,'[1]Campaign Metadata'!A:C,2,FALSE),"")</f>
        <v>45458</v>
      </c>
      <c r="Q161" s="90">
        <f>IFERROR(VLOOKUP(O161,'[1]Campaign Metadata'!A:C,3,FALSE),"")</f>
        <v>45488</v>
      </c>
      <c r="R161" s="94" t="str">
        <f t="shared" si="5"/>
        <v>Before</v>
      </c>
    </row>
    <row r="162" spans="1:18" ht="15.75" customHeight="1" thickTop="1" thickBot="1">
      <c r="A162" s="23" t="s">
        <v>191</v>
      </c>
      <c r="B162" s="11" t="s">
        <v>13</v>
      </c>
      <c r="C162" s="10">
        <v>45803</v>
      </c>
      <c r="D162" s="11" t="s">
        <v>14</v>
      </c>
      <c r="E162" s="9" t="s">
        <v>15</v>
      </c>
      <c r="F162" s="12">
        <v>3086</v>
      </c>
      <c r="G162" s="12">
        <v>148</v>
      </c>
      <c r="H162" s="12">
        <v>310</v>
      </c>
      <c r="I162" s="12">
        <v>22824</v>
      </c>
      <c r="J162" s="4">
        <f t="shared" si="4"/>
        <v>3544</v>
      </c>
      <c r="K162" s="12">
        <v>58103</v>
      </c>
      <c r="L162" s="12">
        <v>275</v>
      </c>
      <c r="M162" s="9" t="s">
        <v>19</v>
      </c>
      <c r="N162" s="9"/>
      <c r="O162" s="9" t="s">
        <v>20</v>
      </c>
      <c r="P162" s="89">
        <f>IFERROR(VLOOKUP(O162,'[1]Campaign Metadata'!A:C,2,FALSE),"")</f>
        <v>45717</v>
      </c>
      <c r="Q162" s="90">
        <f>IFERROR(VLOOKUP(O162,'[1]Campaign Metadata'!A:C,3,FALSE),"")</f>
        <v>45747</v>
      </c>
      <c r="R162" s="94" t="str">
        <f t="shared" si="5"/>
        <v>After</v>
      </c>
    </row>
    <row r="163" spans="1:18" ht="15.75" customHeight="1" thickTop="1" thickBot="1">
      <c r="A163" s="22" t="s">
        <v>192</v>
      </c>
      <c r="B163" s="7" t="s">
        <v>13</v>
      </c>
      <c r="C163" s="6">
        <v>45610</v>
      </c>
      <c r="D163" s="7" t="s">
        <v>14</v>
      </c>
      <c r="E163" s="5" t="s">
        <v>345</v>
      </c>
      <c r="F163" s="8">
        <v>2422</v>
      </c>
      <c r="G163" s="8">
        <v>318</v>
      </c>
      <c r="H163" s="8">
        <v>118</v>
      </c>
      <c r="I163" s="8">
        <v>25386</v>
      </c>
      <c r="J163" s="4">
        <f t="shared" si="4"/>
        <v>2858</v>
      </c>
      <c r="K163" s="8">
        <v>20873</v>
      </c>
      <c r="L163" s="8">
        <v>100</v>
      </c>
      <c r="M163" s="5" t="s">
        <v>37</v>
      </c>
      <c r="N163" s="5" t="s">
        <v>34</v>
      </c>
      <c r="O163" s="5" t="s">
        <v>16</v>
      </c>
      <c r="P163" s="89">
        <f>IFERROR(VLOOKUP(O163,'[1]Campaign Metadata'!A:C,2,FALSE),"")</f>
        <v>45667</v>
      </c>
      <c r="Q163" s="90">
        <f>IFERROR(VLOOKUP(O163,'[1]Campaign Metadata'!A:C,3,FALSE),"")</f>
        <v>45698</v>
      </c>
      <c r="R163" s="94" t="str">
        <f t="shared" si="5"/>
        <v>Before</v>
      </c>
    </row>
    <row r="164" spans="1:18" ht="15.75" customHeight="1" thickTop="1" thickBot="1">
      <c r="A164" s="23" t="s">
        <v>193</v>
      </c>
      <c r="B164" s="11" t="s">
        <v>27</v>
      </c>
      <c r="C164" s="10">
        <v>45513</v>
      </c>
      <c r="D164" s="11" t="s">
        <v>48</v>
      </c>
      <c r="E164" s="9" t="s">
        <v>347</v>
      </c>
      <c r="F164" s="12">
        <v>3414</v>
      </c>
      <c r="G164" s="12">
        <v>154</v>
      </c>
      <c r="H164" s="12">
        <v>204</v>
      </c>
      <c r="I164" s="12">
        <v>34146</v>
      </c>
      <c r="J164" s="4">
        <f t="shared" si="4"/>
        <v>3772</v>
      </c>
      <c r="K164" s="12">
        <v>44633</v>
      </c>
      <c r="L164" s="12">
        <v>256</v>
      </c>
      <c r="M164" s="9" t="s">
        <v>19</v>
      </c>
      <c r="N164" s="9" t="s">
        <v>37</v>
      </c>
      <c r="O164" s="9" t="s">
        <v>49</v>
      </c>
      <c r="P164" s="89">
        <f>IFERROR(VLOOKUP(O164,'[1]Campaign Metadata'!A:C,2,FALSE),"")</f>
        <v>45458</v>
      </c>
      <c r="Q164" s="90">
        <f>IFERROR(VLOOKUP(O164,'[1]Campaign Metadata'!A:C,3,FALSE),"")</f>
        <v>45488</v>
      </c>
      <c r="R164" s="94" t="str">
        <f t="shared" si="5"/>
        <v>After</v>
      </c>
    </row>
    <row r="165" spans="1:18" ht="15.75" customHeight="1" thickTop="1" thickBot="1">
      <c r="A165" s="22" t="s">
        <v>194</v>
      </c>
      <c r="B165" s="7" t="s">
        <v>13</v>
      </c>
      <c r="C165" s="6">
        <v>45835</v>
      </c>
      <c r="D165" s="7" t="s">
        <v>23</v>
      </c>
      <c r="E165" s="5" t="s">
        <v>346</v>
      </c>
      <c r="F165" s="8">
        <v>1342</v>
      </c>
      <c r="G165" s="8">
        <v>332</v>
      </c>
      <c r="H165" s="8">
        <v>163</v>
      </c>
      <c r="I165" s="8">
        <v>51712</v>
      </c>
      <c r="J165" s="4">
        <f t="shared" si="4"/>
        <v>1837</v>
      </c>
      <c r="K165" s="8">
        <v>57922</v>
      </c>
      <c r="L165" s="8">
        <v>168</v>
      </c>
      <c r="M165" s="5" t="s">
        <v>34</v>
      </c>
      <c r="N165" s="5"/>
      <c r="O165" s="5" t="s">
        <v>46</v>
      </c>
      <c r="P165" s="89">
        <f>IFERROR(VLOOKUP(O165,'[1]Campaign Metadata'!A:C,2,FALSE),"")</f>
        <v>45627</v>
      </c>
      <c r="Q165" s="90">
        <f>IFERROR(VLOOKUP(O165,'[1]Campaign Metadata'!A:C,3,FALSE),"")</f>
        <v>45657</v>
      </c>
      <c r="R165" s="94" t="str">
        <f t="shared" si="5"/>
        <v>After</v>
      </c>
    </row>
    <row r="166" spans="1:18" ht="15.75" customHeight="1" thickTop="1" thickBot="1">
      <c r="A166" s="23" t="s">
        <v>195</v>
      </c>
      <c r="B166" s="11" t="s">
        <v>13</v>
      </c>
      <c r="C166" s="10">
        <v>45420</v>
      </c>
      <c r="D166" s="11" t="s">
        <v>23</v>
      </c>
      <c r="E166" s="9" t="s">
        <v>345</v>
      </c>
      <c r="F166" s="12">
        <v>2414</v>
      </c>
      <c r="G166" s="12">
        <v>220</v>
      </c>
      <c r="H166" s="12">
        <v>280</v>
      </c>
      <c r="I166" s="12">
        <v>27355</v>
      </c>
      <c r="J166" s="4">
        <f t="shared" si="4"/>
        <v>2914</v>
      </c>
      <c r="K166" s="12">
        <v>50562</v>
      </c>
      <c r="L166" s="12">
        <v>258</v>
      </c>
      <c r="M166" s="9" t="s">
        <v>34</v>
      </c>
      <c r="N166" s="9"/>
      <c r="O166" s="9" t="s">
        <v>46</v>
      </c>
      <c r="P166" s="89">
        <f>IFERROR(VLOOKUP(O166,'[1]Campaign Metadata'!A:C,2,FALSE),"")</f>
        <v>45627</v>
      </c>
      <c r="Q166" s="90">
        <f>IFERROR(VLOOKUP(O166,'[1]Campaign Metadata'!A:C,3,FALSE),"")</f>
        <v>45657</v>
      </c>
      <c r="R166" s="94" t="str">
        <f t="shared" si="5"/>
        <v>Before</v>
      </c>
    </row>
    <row r="167" spans="1:18" ht="15.75" customHeight="1" thickTop="1" thickBot="1">
      <c r="A167" s="22" t="s">
        <v>196</v>
      </c>
      <c r="B167" s="7" t="s">
        <v>13</v>
      </c>
      <c r="C167" s="6">
        <v>45387</v>
      </c>
      <c r="D167" s="7" t="s">
        <v>14</v>
      </c>
      <c r="E167" s="5" t="s">
        <v>24</v>
      </c>
      <c r="F167" s="8">
        <v>4383</v>
      </c>
      <c r="G167" s="8">
        <v>352</v>
      </c>
      <c r="H167" s="8">
        <v>176</v>
      </c>
      <c r="I167" s="8">
        <v>53239</v>
      </c>
      <c r="J167" s="4">
        <f t="shared" si="4"/>
        <v>4911</v>
      </c>
      <c r="K167" s="8">
        <v>34168</v>
      </c>
      <c r="L167" s="8">
        <v>288</v>
      </c>
      <c r="M167" s="5" t="s">
        <v>19</v>
      </c>
      <c r="N167" s="5"/>
      <c r="O167" s="5" t="s">
        <v>20</v>
      </c>
      <c r="P167" s="89">
        <f>IFERROR(VLOOKUP(O167,'[1]Campaign Metadata'!A:C,2,FALSE),"")</f>
        <v>45717</v>
      </c>
      <c r="Q167" s="90">
        <f>IFERROR(VLOOKUP(O167,'[1]Campaign Metadata'!A:C,3,FALSE),"")</f>
        <v>45747</v>
      </c>
      <c r="R167" s="94" t="str">
        <f t="shared" si="5"/>
        <v>Before</v>
      </c>
    </row>
    <row r="168" spans="1:18" ht="15.75" customHeight="1" thickTop="1" thickBot="1">
      <c r="A168" s="23" t="s">
        <v>197</v>
      </c>
      <c r="B168" s="11" t="s">
        <v>27</v>
      </c>
      <c r="C168" s="10">
        <v>45684</v>
      </c>
      <c r="D168" s="11" t="s">
        <v>14</v>
      </c>
      <c r="E168" s="9" t="s">
        <v>344</v>
      </c>
      <c r="F168" s="12">
        <v>4294</v>
      </c>
      <c r="G168" s="12">
        <v>423</v>
      </c>
      <c r="H168" s="12">
        <v>93</v>
      </c>
      <c r="I168" s="12">
        <v>29828</v>
      </c>
      <c r="J168" s="4">
        <f t="shared" si="4"/>
        <v>4810</v>
      </c>
      <c r="K168" s="12">
        <v>73144</v>
      </c>
      <c r="L168" s="12">
        <v>298</v>
      </c>
      <c r="M168" s="9" t="s">
        <v>19</v>
      </c>
      <c r="N168" s="9" t="s">
        <v>340</v>
      </c>
      <c r="O168" s="9" t="s">
        <v>20</v>
      </c>
      <c r="P168" s="89">
        <f>IFERROR(VLOOKUP(O168,'[1]Campaign Metadata'!A:C,2,FALSE),"")</f>
        <v>45717</v>
      </c>
      <c r="Q168" s="90">
        <f>IFERROR(VLOOKUP(O168,'[1]Campaign Metadata'!A:C,3,FALSE),"")</f>
        <v>45747</v>
      </c>
      <c r="R168" s="94" t="str">
        <f t="shared" si="5"/>
        <v>Before</v>
      </c>
    </row>
    <row r="169" spans="1:18" ht="15.75" customHeight="1" thickTop="1" thickBot="1">
      <c r="A169" s="22" t="s">
        <v>198</v>
      </c>
      <c r="B169" s="7" t="s">
        <v>13</v>
      </c>
      <c r="C169" s="6">
        <v>45385</v>
      </c>
      <c r="D169" s="7" t="s">
        <v>14</v>
      </c>
      <c r="E169" s="5" t="s">
        <v>33</v>
      </c>
      <c r="F169" s="8">
        <v>2762</v>
      </c>
      <c r="G169" s="8">
        <v>339</v>
      </c>
      <c r="H169" s="8">
        <v>323</v>
      </c>
      <c r="I169" s="8">
        <v>33757</v>
      </c>
      <c r="J169" s="4">
        <f t="shared" si="4"/>
        <v>3424</v>
      </c>
      <c r="K169" s="8">
        <v>68511</v>
      </c>
      <c r="L169" s="8">
        <v>121</v>
      </c>
      <c r="M169" s="5" t="s">
        <v>37</v>
      </c>
      <c r="N169" s="5" t="s">
        <v>34</v>
      </c>
      <c r="O169" s="5" t="s">
        <v>16</v>
      </c>
      <c r="P169" s="89">
        <f>IFERROR(VLOOKUP(O169,'[1]Campaign Metadata'!A:C,2,FALSE),"")</f>
        <v>45667</v>
      </c>
      <c r="Q169" s="90">
        <f>IFERROR(VLOOKUP(O169,'[1]Campaign Metadata'!A:C,3,FALSE),"")</f>
        <v>45698</v>
      </c>
      <c r="R169" s="94" t="str">
        <f t="shared" si="5"/>
        <v>Before</v>
      </c>
    </row>
    <row r="170" spans="1:18" ht="15.75" customHeight="1" thickTop="1" thickBot="1">
      <c r="A170" s="23" t="s">
        <v>199</v>
      </c>
      <c r="B170" s="11" t="s">
        <v>27</v>
      </c>
      <c r="C170" s="10">
        <v>45660</v>
      </c>
      <c r="D170" s="11" t="s">
        <v>14</v>
      </c>
      <c r="E170" s="9" t="s">
        <v>24</v>
      </c>
      <c r="F170" s="12">
        <v>3782</v>
      </c>
      <c r="G170" s="12">
        <v>484</v>
      </c>
      <c r="H170" s="12">
        <v>144</v>
      </c>
      <c r="I170" s="12">
        <v>52172</v>
      </c>
      <c r="J170" s="4">
        <f t="shared" si="4"/>
        <v>4410</v>
      </c>
      <c r="K170" s="12">
        <v>59386</v>
      </c>
      <c r="L170" s="12">
        <v>175</v>
      </c>
      <c r="M170" s="9" t="s">
        <v>19</v>
      </c>
      <c r="N170" s="9" t="s">
        <v>340</v>
      </c>
      <c r="O170" s="9" t="s">
        <v>20</v>
      </c>
      <c r="P170" s="89">
        <f>IFERROR(VLOOKUP(O170,'[1]Campaign Metadata'!A:C,2,FALSE),"")</f>
        <v>45717</v>
      </c>
      <c r="Q170" s="90">
        <f>IFERROR(VLOOKUP(O170,'[1]Campaign Metadata'!A:C,3,FALSE),"")</f>
        <v>45747</v>
      </c>
      <c r="R170" s="94" t="str">
        <f t="shared" si="5"/>
        <v>Before</v>
      </c>
    </row>
    <row r="171" spans="1:18" ht="15.75" customHeight="1" thickTop="1" thickBot="1">
      <c r="A171" s="22" t="s">
        <v>200</v>
      </c>
      <c r="B171" s="7" t="s">
        <v>22</v>
      </c>
      <c r="C171" s="6">
        <v>45619</v>
      </c>
      <c r="D171" s="7" t="s">
        <v>14</v>
      </c>
      <c r="E171" s="5" t="s">
        <v>24</v>
      </c>
      <c r="F171" s="8">
        <v>4318</v>
      </c>
      <c r="G171" s="8">
        <v>371</v>
      </c>
      <c r="H171" s="8">
        <v>329</v>
      </c>
      <c r="I171" s="8">
        <v>32347</v>
      </c>
      <c r="J171" s="4">
        <f t="shared" si="4"/>
        <v>5018</v>
      </c>
      <c r="K171" s="8">
        <v>68956</v>
      </c>
      <c r="L171" s="8">
        <v>259</v>
      </c>
      <c r="M171" s="5" t="s">
        <v>37</v>
      </c>
      <c r="N171" s="5"/>
      <c r="O171" s="5" t="s">
        <v>20</v>
      </c>
      <c r="P171" s="89">
        <f>IFERROR(VLOOKUP(O171,'[1]Campaign Metadata'!A:C,2,FALSE),"")</f>
        <v>45717</v>
      </c>
      <c r="Q171" s="90">
        <f>IFERROR(VLOOKUP(O171,'[1]Campaign Metadata'!A:C,3,FALSE),"")</f>
        <v>45747</v>
      </c>
      <c r="R171" s="94" t="str">
        <f t="shared" si="5"/>
        <v>Before</v>
      </c>
    </row>
    <row r="172" spans="1:18" ht="15.75" customHeight="1" thickTop="1" thickBot="1">
      <c r="A172" s="23" t="s">
        <v>201</v>
      </c>
      <c r="B172" s="11" t="s">
        <v>13</v>
      </c>
      <c r="C172" s="10">
        <v>45536</v>
      </c>
      <c r="D172" s="11" t="s">
        <v>23</v>
      </c>
      <c r="E172" s="9" t="s">
        <v>344</v>
      </c>
      <c r="F172" s="12">
        <v>2335</v>
      </c>
      <c r="G172" s="12">
        <v>150</v>
      </c>
      <c r="H172" s="12">
        <v>75</v>
      </c>
      <c r="I172" s="12">
        <v>26114</v>
      </c>
      <c r="J172" s="4">
        <f t="shared" si="4"/>
        <v>2560</v>
      </c>
      <c r="K172" s="12">
        <v>57549</v>
      </c>
      <c r="L172" s="12">
        <v>135</v>
      </c>
      <c r="M172" s="9" t="s">
        <v>34</v>
      </c>
      <c r="N172" s="9"/>
      <c r="O172" s="9" t="s">
        <v>46</v>
      </c>
      <c r="P172" s="89">
        <f>IFERROR(VLOOKUP(O172,'[1]Campaign Metadata'!A:C,2,FALSE),"")</f>
        <v>45627</v>
      </c>
      <c r="Q172" s="90">
        <f>IFERROR(VLOOKUP(O172,'[1]Campaign Metadata'!A:C,3,FALSE),"")</f>
        <v>45657</v>
      </c>
      <c r="R172" s="94" t="str">
        <f t="shared" si="5"/>
        <v>Before</v>
      </c>
    </row>
    <row r="173" spans="1:18" ht="15.75" customHeight="1" thickTop="1" thickBot="1">
      <c r="A173" s="22" t="s">
        <v>202</v>
      </c>
      <c r="B173" s="7" t="s">
        <v>27</v>
      </c>
      <c r="C173" s="6">
        <v>45400</v>
      </c>
      <c r="D173" s="7" t="s">
        <v>14</v>
      </c>
      <c r="E173" s="5" t="s">
        <v>18</v>
      </c>
      <c r="F173" s="8">
        <v>4023</v>
      </c>
      <c r="G173" s="8">
        <v>293</v>
      </c>
      <c r="H173" s="8">
        <v>91</v>
      </c>
      <c r="I173" s="8">
        <v>26795</v>
      </c>
      <c r="J173" s="4">
        <f t="shared" si="4"/>
        <v>4407</v>
      </c>
      <c r="K173" s="8">
        <v>28924</v>
      </c>
      <c r="L173" s="8">
        <v>278</v>
      </c>
      <c r="M173" s="5" t="s">
        <v>19</v>
      </c>
      <c r="N173" s="5" t="s">
        <v>340</v>
      </c>
      <c r="O173" s="5" t="s">
        <v>20</v>
      </c>
      <c r="P173" s="89">
        <f>IFERROR(VLOOKUP(O173,'[1]Campaign Metadata'!A:C,2,FALSE),"")</f>
        <v>45717</v>
      </c>
      <c r="Q173" s="90">
        <f>IFERROR(VLOOKUP(O173,'[1]Campaign Metadata'!A:C,3,FALSE),"")</f>
        <v>45747</v>
      </c>
      <c r="R173" s="94" t="str">
        <f t="shared" si="5"/>
        <v>Before</v>
      </c>
    </row>
    <row r="174" spans="1:18" ht="15.75" customHeight="1" thickTop="1" thickBot="1">
      <c r="A174" s="23" t="s">
        <v>203</v>
      </c>
      <c r="B174" s="11" t="s">
        <v>13</v>
      </c>
      <c r="C174" s="10">
        <v>45447</v>
      </c>
      <c r="D174" s="11" t="s">
        <v>14</v>
      </c>
      <c r="E174" s="9" t="s">
        <v>30</v>
      </c>
      <c r="F174" s="12">
        <v>3948</v>
      </c>
      <c r="G174" s="12">
        <v>151</v>
      </c>
      <c r="H174" s="12">
        <v>249</v>
      </c>
      <c r="I174" s="12">
        <v>43147</v>
      </c>
      <c r="J174" s="4">
        <f t="shared" si="4"/>
        <v>4348</v>
      </c>
      <c r="K174" s="12">
        <v>63136</v>
      </c>
      <c r="L174" s="12">
        <v>230</v>
      </c>
      <c r="M174" s="9" t="s">
        <v>19</v>
      </c>
      <c r="N174" s="9"/>
      <c r="O174" s="9" t="s">
        <v>20</v>
      </c>
      <c r="P174" s="89">
        <f>IFERROR(VLOOKUP(O174,'[1]Campaign Metadata'!A:C,2,FALSE),"")</f>
        <v>45717</v>
      </c>
      <c r="Q174" s="90">
        <f>IFERROR(VLOOKUP(O174,'[1]Campaign Metadata'!A:C,3,FALSE),"")</f>
        <v>45747</v>
      </c>
      <c r="R174" s="94" t="str">
        <f t="shared" si="5"/>
        <v>Before</v>
      </c>
    </row>
    <row r="175" spans="1:18" ht="15.75" customHeight="1" thickTop="1" thickBot="1">
      <c r="A175" s="22" t="s">
        <v>204</v>
      </c>
      <c r="B175" s="7" t="s">
        <v>27</v>
      </c>
      <c r="C175" s="6">
        <v>45749</v>
      </c>
      <c r="D175" s="7" t="s">
        <v>14</v>
      </c>
      <c r="E175" s="5" t="s">
        <v>344</v>
      </c>
      <c r="F175" s="8">
        <v>4598</v>
      </c>
      <c r="G175" s="8">
        <v>455</v>
      </c>
      <c r="H175" s="8">
        <v>378</v>
      </c>
      <c r="I175" s="8">
        <v>52952</v>
      </c>
      <c r="J175" s="4">
        <f t="shared" si="4"/>
        <v>5431</v>
      </c>
      <c r="K175" s="8">
        <v>58504</v>
      </c>
      <c r="L175" s="8">
        <v>269</v>
      </c>
      <c r="M175" s="5" t="s">
        <v>19</v>
      </c>
      <c r="N175" s="5" t="s">
        <v>340</v>
      </c>
      <c r="O175" s="5" t="s">
        <v>20</v>
      </c>
      <c r="P175" s="89">
        <f>IFERROR(VLOOKUP(O175,'[1]Campaign Metadata'!A:C,2,FALSE),"")</f>
        <v>45717</v>
      </c>
      <c r="Q175" s="90">
        <f>IFERROR(VLOOKUP(O175,'[1]Campaign Metadata'!A:C,3,FALSE),"")</f>
        <v>45747</v>
      </c>
      <c r="R175" s="94" t="str">
        <f t="shared" si="5"/>
        <v>After</v>
      </c>
    </row>
    <row r="176" spans="1:18" ht="15.75" customHeight="1" thickTop="1" thickBot="1">
      <c r="A176" s="23" t="s">
        <v>205</v>
      </c>
      <c r="B176" s="11" t="s">
        <v>22</v>
      </c>
      <c r="C176" s="10">
        <v>45748</v>
      </c>
      <c r="D176" s="11" t="s">
        <v>23</v>
      </c>
      <c r="E176" s="9" t="s">
        <v>345</v>
      </c>
      <c r="F176" s="12">
        <v>2665</v>
      </c>
      <c r="G176" s="12">
        <v>143</v>
      </c>
      <c r="H176" s="12">
        <v>315</v>
      </c>
      <c r="I176" s="12">
        <v>54808</v>
      </c>
      <c r="J176" s="4">
        <f t="shared" si="4"/>
        <v>3123</v>
      </c>
      <c r="K176" s="12">
        <v>29818</v>
      </c>
      <c r="L176" s="12">
        <v>98</v>
      </c>
      <c r="M176" s="9" t="s">
        <v>19</v>
      </c>
      <c r="N176" s="9" t="s">
        <v>341</v>
      </c>
      <c r="O176" s="9" t="s">
        <v>16</v>
      </c>
      <c r="P176" s="89">
        <f>IFERROR(VLOOKUP(O176,'[1]Campaign Metadata'!A:C,2,FALSE),"")</f>
        <v>45667</v>
      </c>
      <c r="Q176" s="90">
        <f>IFERROR(VLOOKUP(O176,'[1]Campaign Metadata'!A:C,3,FALSE),"")</f>
        <v>45698</v>
      </c>
      <c r="R176" s="94" t="str">
        <f t="shared" si="5"/>
        <v>After</v>
      </c>
    </row>
    <row r="177" spans="1:18" ht="15.75" customHeight="1" thickTop="1" thickBot="1">
      <c r="A177" s="22" t="s">
        <v>206</v>
      </c>
      <c r="B177" s="7" t="s">
        <v>13</v>
      </c>
      <c r="C177" s="6">
        <v>45475</v>
      </c>
      <c r="D177" s="7" t="s">
        <v>14</v>
      </c>
      <c r="E177" s="5" t="s">
        <v>33</v>
      </c>
      <c r="F177" s="8">
        <v>3469</v>
      </c>
      <c r="G177" s="8">
        <v>371</v>
      </c>
      <c r="H177" s="8">
        <v>76</v>
      </c>
      <c r="I177" s="8">
        <v>46493</v>
      </c>
      <c r="J177" s="4">
        <f t="shared" si="4"/>
        <v>3916</v>
      </c>
      <c r="K177" s="8">
        <v>26906</v>
      </c>
      <c r="L177" s="8">
        <v>150</v>
      </c>
      <c r="M177" s="5" t="s">
        <v>37</v>
      </c>
      <c r="N177" s="5" t="s">
        <v>34</v>
      </c>
      <c r="O177" s="5" t="s">
        <v>16</v>
      </c>
      <c r="P177" s="89">
        <f>IFERROR(VLOOKUP(O177,'[1]Campaign Metadata'!A:C,2,FALSE),"")</f>
        <v>45667</v>
      </c>
      <c r="Q177" s="90">
        <f>IFERROR(VLOOKUP(O177,'[1]Campaign Metadata'!A:C,3,FALSE),"")</f>
        <v>45698</v>
      </c>
      <c r="R177" s="94" t="str">
        <f t="shared" si="5"/>
        <v>Before</v>
      </c>
    </row>
    <row r="178" spans="1:18" ht="15.75" customHeight="1" thickTop="1" thickBot="1">
      <c r="A178" s="23" t="s">
        <v>207</v>
      </c>
      <c r="B178" s="11" t="s">
        <v>22</v>
      </c>
      <c r="C178" s="10">
        <v>45606</v>
      </c>
      <c r="D178" s="11" t="s">
        <v>14</v>
      </c>
      <c r="E178" s="9" t="s">
        <v>18</v>
      </c>
      <c r="F178" s="12">
        <v>4823</v>
      </c>
      <c r="G178" s="12">
        <v>489</v>
      </c>
      <c r="H178" s="12">
        <v>302</v>
      </c>
      <c r="I178" s="12">
        <v>32470</v>
      </c>
      <c r="J178" s="4">
        <f t="shared" si="4"/>
        <v>5614</v>
      </c>
      <c r="K178" s="12">
        <v>31861</v>
      </c>
      <c r="L178" s="12">
        <v>178</v>
      </c>
      <c r="M178" s="9" t="s">
        <v>37</v>
      </c>
      <c r="N178" s="9"/>
      <c r="O178" s="9" t="s">
        <v>20</v>
      </c>
      <c r="P178" s="89">
        <f>IFERROR(VLOOKUP(O178,'[1]Campaign Metadata'!A:C,2,FALSE),"")</f>
        <v>45717</v>
      </c>
      <c r="Q178" s="90">
        <f>IFERROR(VLOOKUP(O178,'[1]Campaign Metadata'!A:C,3,FALSE),"")</f>
        <v>45747</v>
      </c>
      <c r="R178" s="94" t="str">
        <f t="shared" si="5"/>
        <v>Before</v>
      </c>
    </row>
    <row r="179" spans="1:18" ht="15.75" customHeight="1" thickTop="1" thickBot="1">
      <c r="A179" s="22" t="s">
        <v>208</v>
      </c>
      <c r="B179" s="7" t="s">
        <v>13</v>
      </c>
      <c r="C179" s="6">
        <v>45640</v>
      </c>
      <c r="D179" s="7" t="s">
        <v>23</v>
      </c>
      <c r="E179" s="5" t="s">
        <v>347</v>
      </c>
      <c r="F179" s="8">
        <v>3812</v>
      </c>
      <c r="G179" s="8">
        <v>321</v>
      </c>
      <c r="H179" s="8">
        <v>289</v>
      </c>
      <c r="I179" s="8">
        <v>59838</v>
      </c>
      <c r="J179" s="4">
        <f t="shared" si="4"/>
        <v>4422</v>
      </c>
      <c r="K179" s="8">
        <v>36337</v>
      </c>
      <c r="L179" s="8">
        <v>161</v>
      </c>
      <c r="M179" s="5" t="s">
        <v>34</v>
      </c>
      <c r="N179" s="5"/>
      <c r="O179" s="5" t="s">
        <v>46</v>
      </c>
      <c r="P179" s="89">
        <f>IFERROR(VLOOKUP(O179,'[1]Campaign Metadata'!A:C,2,FALSE),"")</f>
        <v>45627</v>
      </c>
      <c r="Q179" s="90">
        <f>IFERROR(VLOOKUP(O179,'[1]Campaign Metadata'!A:C,3,FALSE),"")</f>
        <v>45657</v>
      </c>
      <c r="R179" s="94" t="str">
        <f t="shared" si="5"/>
        <v>During</v>
      </c>
    </row>
    <row r="180" spans="1:18" ht="15.75" customHeight="1" thickTop="1" thickBot="1">
      <c r="A180" s="23" t="s">
        <v>209</v>
      </c>
      <c r="B180" s="11" t="s">
        <v>22</v>
      </c>
      <c r="C180" s="10">
        <v>45615</v>
      </c>
      <c r="D180" s="11" t="s">
        <v>14</v>
      </c>
      <c r="E180" s="9" t="s">
        <v>18</v>
      </c>
      <c r="F180" s="12">
        <v>2387</v>
      </c>
      <c r="G180" s="12">
        <v>353</v>
      </c>
      <c r="H180" s="12">
        <v>78</v>
      </c>
      <c r="I180" s="12">
        <v>39745</v>
      </c>
      <c r="J180" s="4">
        <f t="shared" si="4"/>
        <v>2818</v>
      </c>
      <c r="K180" s="12">
        <v>69226</v>
      </c>
      <c r="L180" s="12">
        <v>208</v>
      </c>
      <c r="M180" s="9" t="s">
        <v>37</v>
      </c>
      <c r="N180" s="9"/>
      <c r="O180" s="9" t="s">
        <v>20</v>
      </c>
      <c r="P180" s="89">
        <f>IFERROR(VLOOKUP(O180,'[1]Campaign Metadata'!A:C,2,FALSE),"")</f>
        <v>45717</v>
      </c>
      <c r="Q180" s="90">
        <f>IFERROR(VLOOKUP(O180,'[1]Campaign Metadata'!A:C,3,FALSE),"")</f>
        <v>45747</v>
      </c>
      <c r="R180" s="94" t="str">
        <f t="shared" si="5"/>
        <v>Before</v>
      </c>
    </row>
    <row r="181" spans="1:18" ht="15.75" customHeight="1" thickTop="1" thickBot="1">
      <c r="A181" s="22" t="s">
        <v>210</v>
      </c>
      <c r="B181" s="7" t="s">
        <v>22</v>
      </c>
      <c r="C181" s="6">
        <v>45777</v>
      </c>
      <c r="D181" s="7" t="s">
        <v>23</v>
      </c>
      <c r="E181" s="5" t="s">
        <v>344</v>
      </c>
      <c r="F181" s="8">
        <v>3929</v>
      </c>
      <c r="G181" s="8">
        <v>275</v>
      </c>
      <c r="H181" s="8">
        <v>330</v>
      </c>
      <c r="I181" s="8">
        <v>58329</v>
      </c>
      <c r="J181" s="4">
        <f t="shared" si="4"/>
        <v>4534</v>
      </c>
      <c r="K181" s="8">
        <v>33196</v>
      </c>
      <c r="L181" s="8">
        <v>85</v>
      </c>
      <c r="M181" s="5" t="s">
        <v>341</v>
      </c>
      <c r="N181" s="5" t="s">
        <v>34</v>
      </c>
      <c r="O181" s="5" t="s">
        <v>16</v>
      </c>
      <c r="P181" s="89">
        <f>IFERROR(VLOOKUP(O181,'[1]Campaign Metadata'!A:C,2,FALSE),"")</f>
        <v>45667</v>
      </c>
      <c r="Q181" s="90">
        <f>IFERROR(VLOOKUP(O181,'[1]Campaign Metadata'!A:C,3,FALSE),"")</f>
        <v>45698</v>
      </c>
      <c r="R181" s="94" t="str">
        <f t="shared" si="5"/>
        <v>After</v>
      </c>
    </row>
    <row r="182" spans="1:18" ht="15.75" customHeight="1" thickTop="1" thickBot="1">
      <c r="A182" s="23" t="s">
        <v>211</v>
      </c>
      <c r="B182" s="11" t="s">
        <v>22</v>
      </c>
      <c r="C182" s="10">
        <v>45370</v>
      </c>
      <c r="D182" s="11" t="s">
        <v>14</v>
      </c>
      <c r="E182" s="9" t="s">
        <v>347</v>
      </c>
      <c r="F182" s="12">
        <v>2191</v>
      </c>
      <c r="G182" s="12">
        <v>288</v>
      </c>
      <c r="H182" s="12">
        <v>83</v>
      </c>
      <c r="I182" s="12">
        <v>59606</v>
      </c>
      <c r="J182" s="4">
        <f t="shared" si="4"/>
        <v>2562</v>
      </c>
      <c r="K182" s="12">
        <v>24765</v>
      </c>
      <c r="L182" s="12">
        <v>281</v>
      </c>
      <c r="M182" s="9" t="s">
        <v>37</v>
      </c>
      <c r="N182" s="9"/>
      <c r="O182" s="9" t="s">
        <v>20</v>
      </c>
      <c r="P182" s="89">
        <f>IFERROR(VLOOKUP(O182,'[1]Campaign Metadata'!A:C,2,FALSE),"")</f>
        <v>45717</v>
      </c>
      <c r="Q182" s="90">
        <f>IFERROR(VLOOKUP(O182,'[1]Campaign Metadata'!A:C,3,FALSE),"")</f>
        <v>45747</v>
      </c>
      <c r="R182" s="94" t="str">
        <f t="shared" si="5"/>
        <v>Before</v>
      </c>
    </row>
    <row r="183" spans="1:18" ht="15.75" customHeight="1" thickTop="1" thickBot="1">
      <c r="A183" s="22" t="s">
        <v>212</v>
      </c>
      <c r="B183" s="7" t="s">
        <v>13</v>
      </c>
      <c r="C183" s="6">
        <v>45370</v>
      </c>
      <c r="D183" s="7" t="s">
        <v>14</v>
      </c>
      <c r="E183" s="5" t="s">
        <v>347</v>
      </c>
      <c r="F183" s="8">
        <v>2878</v>
      </c>
      <c r="G183" s="8">
        <v>278</v>
      </c>
      <c r="H183" s="8">
        <v>255</v>
      </c>
      <c r="I183" s="8">
        <v>47235</v>
      </c>
      <c r="J183" s="4">
        <f t="shared" si="4"/>
        <v>3411</v>
      </c>
      <c r="K183" s="8">
        <v>57922</v>
      </c>
      <c r="L183" s="8">
        <v>112</v>
      </c>
      <c r="M183" s="5" t="s">
        <v>37</v>
      </c>
      <c r="N183" s="5" t="s">
        <v>34</v>
      </c>
      <c r="O183" s="5" t="s">
        <v>16</v>
      </c>
      <c r="P183" s="89">
        <f>IFERROR(VLOOKUP(O183,'[1]Campaign Metadata'!A:C,2,FALSE),"")</f>
        <v>45667</v>
      </c>
      <c r="Q183" s="90">
        <f>IFERROR(VLOOKUP(O183,'[1]Campaign Metadata'!A:C,3,FALSE),"")</f>
        <v>45698</v>
      </c>
      <c r="R183" s="94" t="str">
        <f t="shared" si="5"/>
        <v>Before</v>
      </c>
    </row>
    <row r="184" spans="1:18" ht="15.75" customHeight="1" thickTop="1" thickBot="1">
      <c r="A184" s="23" t="s">
        <v>213</v>
      </c>
      <c r="B184" s="11" t="s">
        <v>22</v>
      </c>
      <c r="C184" s="10">
        <v>45496</v>
      </c>
      <c r="D184" s="11" t="s">
        <v>14</v>
      </c>
      <c r="E184" s="9" t="s">
        <v>33</v>
      </c>
      <c r="F184" s="12">
        <v>3204</v>
      </c>
      <c r="G184" s="12">
        <v>398</v>
      </c>
      <c r="H184" s="12">
        <v>85</v>
      </c>
      <c r="I184" s="12">
        <v>22020</v>
      </c>
      <c r="J184" s="4">
        <f t="shared" si="4"/>
        <v>3687</v>
      </c>
      <c r="K184" s="12">
        <v>58353</v>
      </c>
      <c r="L184" s="12">
        <v>286</v>
      </c>
      <c r="M184" s="9" t="s">
        <v>37</v>
      </c>
      <c r="N184" s="9"/>
      <c r="O184" s="9" t="s">
        <v>20</v>
      </c>
      <c r="P184" s="89">
        <f>IFERROR(VLOOKUP(O184,'[1]Campaign Metadata'!A:C,2,FALSE),"")</f>
        <v>45717</v>
      </c>
      <c r="Q184" s="90">
        <f>IFERROR(VLOOKUP(O184,'[1]Campaign Metadata'!A:C,3,FALSE),"")</f>
        <v>45747</v>
      </c>
      <c r="R184" s="94" t="str">
        <f t="shared" si="5"/>
        <v>Before</v>
      </c>
    </row>
    <row r="185" spans="1:18" ht="15.75" customHeight="1" thickTop="1" thickBot="1">
      <c r="A185" s="22" t="s">
        <v>214</v>
      </c>
      <c r="B185" s="7" t="s">
        <v>22</v>
      </c>
      <c r="C185" s="6">
        <v>45486</v>
      </c>
      <c r="D185" s="7" t="s">
        <v>23</v>
      </c>
      <c r="E185" s="5" t="s">
        <v>30</v>
      </c>
      <c r="F185" s="8">
        <v>2408</v>
      </c>
      <c r="G185" s="8">
        <v>323</v>
      </c>
      <c r="H185" s="8">
        <v>251</v>
      </c>
      <c r="I185" s="8">
        <v>47599</v>
      </c>
      <c r="J185" s="4">
        <f t="shared" si="4"/>
        <v>2982</v>
      </c>
      <c r="K185" s="8">
        <v>35543</v>
      </c>
      <c r="L185" s="8">
        <v>287</v>
      </c>
      <c r="M185" s="5" t="s">
        <v>341</v>
      </c>
      <c r="N185" s="5" t="s">
        <v>34</v>
      </c>
      <c r="O185" s="5" t="s">
        <v>16</v>
      </c>
      <c r="P185" s="89">
        <f>IFERROR(VLOOKUP(O185,'[1]Campaign Metadata'!A:C,2,FALSE),"")</f>
        <v>45667</v>
      </c>
      <c r="Q185" s="90">
        <f>IFERROR(VLOOKUP(O185,'[1]Campaign Metadata'!A:C,3,FALSE),"")</f>
        <v>45698</v>
      </c>
      <c r="R185" s="94" t="str">
        <f t="shared" si="5"/>
        <v>Before</v>
      </c>
    </row>
    <row r="186" spans="1:18" ht="15.75" customHeight="1" thickTop="1" thickBot="1">
      <c r="A186" s="23" t="s">
        <v>215</v>
      </c>
      <c r="B186" s="11" t="s">
        <v>27</v>
      </c>
      <c r="C186" s="10">
        <v>45769</v>
      </c>
      <c r="D186" s="11" t="s">
        <v>48</v>
      </c>
      <c r="E186" s="9" t="s">
        <v>24</v>
      </c>
      <c r="F186" s="12">
        <v>2733</v>
      </c>
      <c r="G186" s="12">
        <v>297</v>
      </c>
      <c r="H186" s="12">
        <v>235</v>
      </c>
      <c r="I186" s="12">
        <v>37980</v>
      </c>
      <c r="J186" s="4">
        <f t="shared" si="4"/>
        <v>3265</v>
      </c>
      <c r="K186" s="12">
        <v>33058</v>
      </c>
      <c r="L186" s="12">
        <v>219</v>
      </c>
      <c r="M186" s="9" t="s">
        <v>19</v>
      </c>
      <c r="N186" s="9" t="s">
        <v>37</v>
      </c>
      <c r="O186" s="9" t="s">
        <v>49</v>
      </c>
      <c r="P186" s="89">
        <f>IFERROR(VLOOKUP(O186,'[1]Campaign Metadata'!A:C,2,FALSE),"")</f>
        <v>45458</v>
      </c>
      <c r="Q186" s="90">
        <f>IFERROR(VLOOKUP(O186,'[1]Campaign Metadata'!A:C,3,FALSE),"")</f>
        <v>45488</v>
      </c>
      <c r="R186" s="94" t="str">
        <f t="shared" si="5"/>
        <v>After</v>
      </c>
    </row>
    <row r="187" spans="1:18" ht="15.75" customHeight="1" thickTop="1" thickBot="1">
      <c r="A187" s="22" t="s">
        <v>216</v>
      </c>
      <c r="B187" s="7" t="s">
        <v>22</v>
      </c>
      <c r="C187" s="6">
        <v>45459</v>
      </c>
      <c r="D187" s="7" t="s">
        <v>23</v>
      </c>
      <c r="E187" s="5" t="s">
        <v>18</v>
      </c>
      <c r="F187" s="8">
        <v>4618</v>
      </c>
      <c r="G187" s="8">
        <v>312</v>
      </c>
      <c r="H187" s="8">
        <v>254</v>
      </c>
      <c r="I187" s="8">
        <v>22571</v>
      </c>
      <c r="J187" s="4">
        <f t="shared" si="4"/>
        <v>5184</v>
      </c>
      <c r="K187" s="8">
        <v>29453</v>
      </c>
      <c r="L187" s="8">
        <v>197</v>
      </c>
      <c r="M187" s="5" t="s">
        <v>341</v>
      </c>
      <c r="N187" s="5" t="s">
        <v>34</v>
      </c>
      <c r="O187" s="5" t="s">
        <v>16</v>
      </c>
      <c r="P187" s="89">
        <f>IFERROR(VLOOKUP(O187,'[1]Campaign Metadata'!A:C,2,FALSE),"")</f>
        <v>45667</v>
      </c>
      <c r="Q187" s="90">
        <f>IFERROR(VLOOKUP(O187,'[1]Campaign Metadata'!A:C,3,FALSE),"")</f>
        <v>45698</v>
      </c>
      <c r="R187" s="94" t="str">
        <f t="shared" si="5"/>
        <v>Before</v>
      </c>
    </row>
    <row r="188" spans="1:18" ht="15.75" customHeight="1" thickTop="1" thickBot="1">
      <c r="A188" s="23" t="s">
        <v>217</v>
      </c>
      <c r="B188" s="11" t="s">
        <v>27</v>
      </c>
      <c r="C188" s="10">
        <v>45795</v>
      </c>
      <c r="D188" s="11" t="s">
        <v>48</v>
      </c>
      <c r="E188" s="9" t="s">
        <v>344</v>
      </c>
      <c r="F188" s="12">
        <v>4210</v>
      </c>
      <c r="G188" s="12">
        <v>319</v>
      </c>
      <c r="H188" s="12">
        <v>350</v>
      </c>
      <c r="I188" s="12">
        <v>37762</v>
      </c>
      <c r="J188" s="4">
        <f t="shared" si="4"/>
        <v>4879</v>
      </c>
      <c r="K188" s="12">
        <v>55162</v>
      </c>
      <c r="L188" s="12">
        <v>204</v>
      </c>
      <c r="M188" s="9" t="s">
        <v>19</v>
      </c>
      <c r="N188" s="9" t="s">
        <v>37</v>
      </c>
      <c r="O188" s="9" t="s">
        <v>49</v>
      </c>
      <c r="P188" s="89">
        <f>IFERROR(VLOOKUP(O188,'[1]Campaign Metadata'!A:C,2,FALSE),"")</f>
        <v>45458</v>
      </c>
      <c r="Q188" s="90">
        <f>IFERROR(VLOOKUP(O188,'[1]Campaign Metadata'!A:C,3,FALSE),"")</f>
        <v>45488</v>
      </c>
      <c r="R188" s="94" t="str">
        <f t="shared" si="5"/>
        <v>After</v>
      </c>
    </row>
    <row r="189" spans="1:18" ht="15.75" customHeight="1" thickTop="1" thickBot="1">
      <c r="A189" s="22" t="s">
        <v>218</v>
      </c>
      <c r="B189" s="7" t="s">
        <v>13</v>
      </c>
      <c r="C189" s="6">
        <v>45814</v>
      </c>
      <c r="D189" s="7" t="s">
        <v>14</v>
      </c>
      <c r="E189" s="5" t="s">
        <v>344</v>
      </c>
      <c r="F189" s="8">
        <v>3987</v>
      </c>
      <c r="G189" s="8">
        <v>171</v>
      </c>
      <c r="H189" s="8">
        <v>274</v>
      </c>
      <c r="I189" s="8">
        <v>45122</v>
      </c>
      <c r="J189" s="4">
        <f t="shared" si="4"/>
        <v>4432</v>
      </c>
      <c r="K189" s="8">
        <v>65431</v>
      </c>
      <c r="L189" s="8">
        <v>168</v>
      </c>
      <c r="M189" s="5" t="s">
        <v>19</v>
      </c>
      <c r="N189" s="5"/>
      <c r="O189" s="5" t="s">
        <v>20</v>
      </c>
      <c r="P189" s="89">
        <f>IFERROR(VLOOKUP(O189,'[1]Campaign Metadata'!A:C,2,FALSE),"")</f>
        <v>45717</v>
      </c>
      <c r="Q189" s="90">
        <f>IFERROR(VLOOKUP(O189,'[1]Campaign Metadata'!A:C,3,FALSE),"")</f>
        <v>45747</v>
      </c>
      <c r="R189" s="94" t="str">
        <f t="shared" si="5"/>
        <v>After</v>
      </c>
    </row>
    <row r="190" spans="1:18" ht="15.75" customHeight="1" thickTop="1" thickBot="1">
      <c r="A190" s="23" t="s">
        <v>219</v>
      </c>
      <c r="B190" s="11" t="s">
        <v>27</v>
      </c>
      <c r="C190" s="10">
        <v>45708</v>
      </c>
      <c r="D190" s="11" t="s">
        <v>48</v>
      </c>
      <c r="E190" s="9" t="s">
        <v>30</v>
      </c>
      <c r="F190" s="12">
        <v>4957</v>
      </c>
      <c r="G190" s="12">
        <v>262</v>
      </c>
      <c r="H190" s="12">
        <v>365</v>
      </c>
      <c r="I190" s="12">
        <v>49199</v>
      </c>
      <c r="J190" s="4">
        <f t="shared" si="4"/>
        <v>5584</v>
      </c>
      <c r="K190" s="12">
        <v>40314</v>
      </c>
      <c r="L190" s="12">
        <v>216</v>
      </c>
      <c r="M190" s="9" t="s">
        <v>19</v>
      </c>
      <c r="N190" s="9" t="s">
        <v>37</v>
      </c>
      <c r="O190" s="9" t="s">
        <v>49</v>
      </c>
      <c r="P190" s="89">
        <f>IFERROR(VLOOKUP(O190,'[1]Campaign Metadata'!A:C,2,FALSE),"")</f>
        <v>45458</v>
      </c>
      <c r="Q190" s="90">
        <f>IFERROR(VLOOKUP(O190,'[1]Campaign Metadata'!A:C,3,FALSE),"")</f>
        <v>45488</v>
      </c>
      <c r="R190" s="94" t="str">
        <f t="shared" si="5"/>
        <v>After</v>
      </c>
    </row>
    <row r="191" spans="1:18" ht="15.75" customHeight="1" thickTop="1" thickBot="1">
      <c r="A191" s="22" t="s">
        <v>220</v>
      </c>
      <c r="B191" s="7" t="s">
        <v>13</v>
      </c>
      <c r="C191" s="6">
        <v>45673</v>
      </c>
      <c r="D191" s="7" t="s">
        <v>14</v>
      </c>
      <c r="E191" s="5" t="s">
        <v>345</v>
      </c>
      <c r="F191" s="8">
        <v>2605</v>
      </c>
      <c r="G191" s="8">
        <v>282</v>
      </c>
      <c r="H191" s="8">
        <v>148</v>
      </c>
      <c r="I191" s="8">
        <v>32201</v>
      </c>
      <c r="J191" s="4">
        <f t="shared" si="4"/>
        <v>3035</v>
      </c>
      <c r="K191" s="8">
        <v>49583</v>
      </c>
      <c r="L191" s="8">
        <v>241</v>
      </c>
      <c r="M191" s="5" t="s">
        <v>37</v>
      </c>
      <c r="N191" s="5" t="s">
        <v>34</v>
      </c>
      <c r="O191" s="5" t="s">
        <v>16</v>
      </c>
      <c r="P191" s="89">
        <f>IFERROR(VLOOKUP(O191,'[1]Campaign Metadata'!A:C,2,FALSE),"")</f>
        <v>45667</v>
      </c>
      <c r="Q191" s="90">
        <f>IFERROR(VLOOKUP(O191,'[1]Campaign Metadata'!A:C,3,FALSE),"")</f>
        <v>45698</v>
      </c>
      <c r="R191" s="94" t="str">
        <f t="shared" si="5"/>
        <v>During</v>
      </c>
    </row>
    <row r="192" spans="1:18" ht="15.75" customHeight="1" thickTop="1" thickBot="1">
      <c r="A192" s="23" t="s">
        <v>221</v>
      </c>
      <c r="B192" s="11" t="s">
        <v>27</v>
      </c>
      <c r="C192" s="10">
        <v>45346</v>
      </c>
      <c r="D192" s="11" t="s">
        <v>48</v>
      </c>
      <c r="E192" s="9" t="s">
        <v>15</v>
      </c>
      <c r="F192" s="12">
        <v>4221</v>
      </c>
      <c r="G192" s="12">
        <v>307</v>
      </c>
      <c r="H192" s="12">
        <v>58</v>
      </c>
      <c r="I192" s="12">
        <v>45080</v>
      </c>
      <c r="J192" s="4">
        <f t="shared" si="4"/>
        <v>4586</v>
      </c>
      <c r="K192" s="12">
        <v>37214</v>
      </c>
      <c r="L192" s="12">
        <v>240</v>
      </c>
      <c r="M192" s="9" t="s">
        <v>19</v>
      </c>
      <c r="N192" s="9" t="s">
        <v>37</v>
      </c>
      <c r="O192" s="9" t="s">
        <v>49</v>
      </c>
      <c r="P192" s="89">
        <f>IFERROR(VLOOKUP(O192,'[1]Campaign Metadata'!A:C,2,FALSE),"")</f>
        <v>45458</v>
      </c>
      <c r="Q192" s="90">
        <f>IFERROR(VLOOKUP(O192,'[1]Campaign Metadata'!A:C,3,FALSE),"")</f>
        <v>45488</v>
      </c>
      <c r="R192" s="94" t="str">
        <f t="shared" si="5"/>
        <v>Before</v>
      </c>
    </row>
    <row r="193" spans="1:18" ht="15.75" customHeight="1" thickTop="1" thickBot="1">
      <c r="A193" s="22" t="s">
        <v>222</v>
      </c>
      <c r="B193" s="7" t="s">
        <v>22</v>
      </c>
      <c r="C193" s="6">
        <v>45551</v>
      </c>
      <c r="D193" s="7" t="s">
        <v>23</v>
      </c>
      <c r="E193" s="5" t="s">
        <v>346</v>
      </c>
      <c r="F193" s="8">
        <v>4422</v>
      </c>
      <c r="G193" s="8">
        <v>434</v>
      </c>
      <c r="H193" s="8">
        <v>156</v>
      </c>
      <c r="I193" s="8">
        <v>56165</v>
      </c>
      <c r="J193" s="4">
        <f t="shared" si="4"/>
        <v>5012</v>
      </c>
      <c r="K193" s="8">
        <v>52431</v>
      </c>
      <c r="L193" s="8">
        <v>173</v>
      </c>
      <c r="M193" s="5" t="s">
        <v>19</v>
      </c>
      <c r="N193" s="5" t="s">
        <v>341</v>
      </c>
      <c r="O193" s="5" t="s">
        <v>16</v>
      </c>
      <c r="P193" s="89">
        <f>IFERROR(VLOOKUP(O193,'[1]Campaign Metadata'!A:C,2,FALSE),"")</f>
        <v>45667</v>
      </c>
      <c r="Q193" s="90">
        <f>IFERROR(VLOOKUP(O193,'[1]Campaign Metadata'!A:C,3,FALSE),"")</f>
        <v>45698</v>
      </c>
      <c r="R193" s="94" t="str">
        <f t="shared" si="5"/>
        <v>Before</v>
      </c>
    </row>
    <row r="194" spans="1:18" ht="15.75" customHeight="1" thickTop="1" thickBot="1">
      <c r="A194" s="23" t="s">
        <v>223</v>
      </c>
      <c r="B194" s="11" t="s">
        <v>27</v>
      </c>
      <c r="C194" s="10">
        <v>45447</v>
      </c>
      <c r="D194" s="11" t="s">
        <v>48</v>
      </c>
      <c r="E194" s="9" t="s">
        <v>344</v>
      </c>
      <c r="F194" s="12">
        <v>1211</v>
      </c>
      <c r="G194" s="12">
        <v>431</v>
      </c>
      <c r="H194" s="12">
        <v>83</v>
      </c>
      <c r="I194" s="12">
        <v>26532</v>
      </c>
      <c r="J194" s="4">
        <f t="shared" si="4"/>
        <v>1725</v>
      </c>
      <c r="K194" s="12">
        <v>47305</v>
      </c>
      <c r="L194" s="12">
        <v>232</v>
      </c>
      <c r="M194" s="9" t="s">
        <v>19</v>
      </c>
      <c r="N194" s="9" t="s">
        <v>37</v>
      </c>
      <c r="O194" s="9" t="s">
        <v>49</v>
      </c>
      <c r="P194" s="89">
        <f>IFERROR(VLOOKUP(O194,'[1]Campaign Metadata'!A:C,2,FALSE),"")</f>
        <v>45458</v>
      </c>
      <c r="Q194" s="90">
        <f>IFERROR(VLOOKUP(O194,'[1]Campaign Metadata'!A:C,3,FALSE),"")</f>
        <v>45488</v>
      </c>
      <c r="R194" s="94" t="str">
        <f t="shared" si="5"/>
        <v>Before</v>
      </c>
    </row>
    <row r="195" spans="1:18" ht="15.75" customHeight="1" thickTop="1" thickBot="1">
      <c r="A195" s="22" t="s">
        <v>224</v>
      </c>
      <c r="B195" s="7" t="s">
        <v>22</v>
      </c>
      <c r="C195" s="6">
        <v>45422</v>
      </c>
      <c r="D195" s="7" t="s">
        <v>23</v>
      </c>
      <c r="E195" s="5" t="s">
        <v>18</v>
      </c>
      <c r="F195" s="8">
        <v>2784</v>
      </c>
      <c r="G195" s="8">
        <v>111</v>
      </c>
      <c r="H195" s="8">
        <v>399</v>
      </c>
      <c r="I195" s="8">
        <v>58366</v>
      </c>
      <c r="J195" s="4">
        <f t="shared" ref="J195:J258" si="6">(F195+G195+H195)</f>
        <v>3294</v>
      </c>
      <c r="K195" s="8">
        <v>69512</v>
      </c>
      <c r="L195" s="8">
        <v>269</v>
      </c>
      <c r="M195" s="5" t="s">
        <v>341</v>
      </c>
      <c r="N195" s="5" t="s">
        <v>34</v>
      </c>
      <c r="O195" s="5" t="s">
        <v>16</v>
      </c>
      <c r="P195" s="89">
        <f>IFERROR(VLOOKUP(O195,'[1]Campaign Metadata'!A:C,2,FALSE),"")</f>
        <v>45667</v>
      </c>
      <c r="Q195" s="90">
        <f>IFERROR(VLOOKUP(O195,'[1]Campaign Metadata'!A:C,3,FALSE),"")</f>
        <v>45698</v>
      </c>
      <c r="R195" s="94" t="str">
        <f t="shared" ref="R195:R258" si="7">IF(AND(C195&lt;=Q195,C195&gt;=P195),"During",IF(C195&gt;Q195,"After","Before"))</f>
        <v>Before</v>
      </c>
    </row>
    <row r="196" spans="1:18" ht="15.75" customHeight="1" thickTop="1" thickBot="1">
      <c r="A196" s="23" t="s">
        <v>225</v>
      </c>
      <c r="B196" s="11" t="s">
        <v>27</v>
      </c>
      <c r="C196" s="10">
        <v>45305</v>
      </c>
      <c r="D196" s="11" t="s">
        <v>14</v>
      </c>
      <c r="E196" s="9" t="s">
        <v>24</v>
      </c>
      <c r="F196" s="12">
        <v>3634</v>
      </c>
      <c r="G196" s="12">
        <v>280</v>
      </c>
      <c r="H196" s="12">
        <v>399</v>
      </c>
      <c r="I196" s="12">
        <v>40256</v>
      </c>
      <c r="J196" s="4">
        <f t="shared" si="6"/>
        <v>4313</v>
      </c>
      <c r="K196" s="12">
        <v>52605</v>
      </c>
      <c r="L196" s="12">
        <v>213</v>
      </c>
      <c r="M196" s="9" t="s">
        <v>19</v>
      </c>
      <c r="N196" s="9" t="s">
        <v>340</v>
      </c>
      <c r="O196" s="9" t="s">
        <v>20</v>
      </c>
      <c r="P196" s="89">
        <f>IFERROR(VLOOKUP(O196,'[1]Campaign Metadata'!A:C,2,FALSE),"")</f>
        <v>45717</v>
      </c>
      <c r="Q196" s="90">
        <f>IFERROR(VLOOKUP(O196,'[1]Campaign Metadata'!A:C,3,FALSE),"")</f>
        <v>45747</v>
      </c>
      <c r="R196" s="94" t="str">
        <f t="shared" si="7"/>
        <v>Before</v>
      </c>
    </row>
    <row r="197" spans="1:18" ht="15.75" customHeight="1" thickTop="1" thickBot="1">
      <c r="A197" s="22" t="s">
        <v>226</v>
      </c>
      <c r="B197" s="7" t="s">
        <v>13</v>
      </c>
      <c r="C197" s="6">
        <v>45669</v>
      </c>
      <c r="D197" s="7" t="s">
        <v>14</v>
      </c>
      <c r="E197" s="5" t="s">
        <v>347</v>
      </c>
      <c r="F197" s="8">
        <v>1771</v>
      </c>
      <c r="G197" s="8">
        <v>487</v>
      </c>
      <c r="H197" s="8">
        <v>272</v>
      </c>
      <c r="I197" s="8">
        <v>48810</v>
      </c>
      <c r="J197" s="4">
        <f t="shared" si="6"/>
        <v>2530</v>
      </c>
      <c r="K197" s="8">
        <v>48084</v>
      </c>
      <c r="L197" s="8">
        <v>272</v>
      </c>
      <c r="M197" s="5" t="s">
        <v>37</v>
      </c>
      <c r="N197" s="5" t="s">
        <v>34</v>
      </c>
      <c r="O197" s="5" t="s">
        <v>16</v>
      </c>
      <c r="P197" s="89">
        <f>IFERROR(VLOOKUP(O197,'[1]Campaign Metadata'!A:C,2,FALSE),"")</f>
        <v>45667</v>
      </c>
      <c r="Q197" s="90">
        <f>IFERROR(VLOOKUP(O197,'[1]Campaign Metadata'!A:C,3,FALSE),"")</f>
        <v>45698</v>
      </c>
      <c r="R197" s="94" t="str">
        <f t="shared" si="7"/>
        <v>During</v>
      </c>
    </row>
    <row r="198" spans="1:18" ht="15.75" customHeight="1" thickTop="1" thickBot="1">
      <c r="A198" s="23" t="s">
        <v>227</v>
      </c>
      <c r="B198" s="11" t="s">
        <v>27</v>
      </c>
      <c r="C198" s="10">
        <v>45634</v>
      </c>
      <c r="D198" s="11" t="s">
        <v>14</v>
      </c>
      <c r="E198" s="9" t="s">
        <v>33</v>
      </c>
      <c r="F198" s="12">
        <v>1424</v>
      </c>
      <c r="G198" s="12">
        <v>396</v>
      </c>
      <c r="H198" s="12">
        <v>312</v>
      </c>
      <c r="I198" s="12">
        <v>59517</v>
      </c>
      <c r="J198" s="4">
        <f t="shared" si="6"/>
        <v>2132</v>
      </c>
      <c r="K198" s="12">
        <v>46102</v>
      </c>
      <c r="L198" s="12">
        <v>239</v>
      </c>
      <c r="M198" s="9" t="s">
        <v>19</v>
      </c>
      <c r="N198" s="9" t="s">
        <v>340</v>
      </c>
      <c r="O198" s="9" t="s">
        <v>20</v>
      </c>
      <c r="P198" s="89">
        <f>IFERROR(VLOOKUP(O198,'[1]Campaign Metadata'!A:C,2,FALSE),"")</f>
        <v>45717</v>
      </c>
      <c r="Q198" s="90">
        <f>IFERROR(VLOOKUP(O198,'[1]Campaign Metadata'!A:C,3,FALSE),"")</f>
        <v>45747</v>
      </c>
      <c r="R198" s="94" t="str">
        <f t="shared" si="7"/>
        <v>Before</v>
      </c>
    </row>
    <row r="199" spans="1:18" ht="15.75" customHeight="1" thickTop="1" thickBot="1">
      <c r="A199" s="22" t="s">
        <v>228</v>
      </c>
      <c r="B199" s="7" t="s">
        <v>22</v>
      </c>
      <c r="C199" s="6">
        <v>45689</v>
      </c>
      <c r="D199" s="7" t="s">
        <v>23</v>
      </c>
      <c r="E199" s="5" t="s">
        <v>33</v>
      </c>
      <c r="F199" s="8">
        <v>1079</v>
      </c>
      <c r="G199" s="8">
        <v>265</v>
      </c>
      <c r="H199" s="8">
        <v>190</v>
      </c>
      <c r="I199" s="8">
        <v>43786</v>
      </c>
      <c r="J199" s="4">
        <f t="shared" si="6"/>
        <v>1534</v>
      </c>
      <c r="K199" s="8">
        <v>72428</v>
      </c>
      <c r="L199" s="8">
        <v>222</v>
      </c>
      <c r="M199" s="5" t="s">
        <v>37</v>
      </c>
      <c r="N199" s="5" t="s">
        <v>34</v>
      </c>
      <c r="O199" s="5" t="s">
        <v>16</v>
      </c>
      <c r="P199" s="89">
        <f>IFERROR(VLOOKUP(O199,'[1]Campaign Metadata'!A:C,2,FALSE),"")</f>
        <v>45667</v>
      </c>
      <c r="Q199" s="90">
        <f>IFERROR(VLOOKUP(O199,'[1]Campaign Metadata'!A:C,3,FALSE),"")</f>
        <v>45698</v>
      </c>
      <c r="R199" s="94" t="str">
        <f t="shared" si="7"/>
        <v>During</v>
      </c>
    </row>
    <row r="200" spans="1:18" ht="15.75" customHeight="1" thickTop="1" thickBot="1">
      <c r="A200" s="23" t="s">
        <v>229</v>
      </c>
      <c r="B200" s="11" t="s">
        <v>22</v>
      </c>
      <c r="C200" s="10">
        <v>45484</v>
      </c>
      <c r="D200" s="11" t="s">
        <v>23</v>
      </c>
      <c r="E200" s="9" t="s">
        <v>30</v>
      </c>
      <c r="F200" s="12">
        <v>4247</v>
      </c>
      <c r="G200" s="12">
        <v>179</v>
      </c>
      <c r="H200" s="12">
        <v>175</v>
      </c>
      <c r="I200" s="12">
        <v>32991</v>
      </c>
      <c r="J200" s="4">
        <f t="shared" si="6"/>
        <v>4601</v>
      </c>
      <c r="K200" s="12">
        <v>70120</v>
      </c>
      <c r="L200" s="12">
        <v>276</v>
      </c>
      <c r="M200" s="9" t="s">
        <v>37</v>
      </c>
      <c r="N200" s="9" t="s">
        <v>34</v>
      </c>
      <c r="O200" s="9" t="s">
        <v>16</v>
      </c>
      <c r="P200" s="89">
        <f>IFERROR(VLOOKUP(O200,'[1]Campaign Metadata'!A:C,2,FALSE),"")</f>
        <v>45667</v>
      </c>
      <c r="Q200" s="90">
        <f>IFERROR(VLOOKUP(O200,'[1]Campaign Metadata'!A:C,3,FALSE),"")</f>
        <v>45698</v>
      </c>
      <c r="R200" s="94" t="str">
        <f t="shared" si="7"/>
        <v>Before</v>
      </c>
    </row>
    <row r="201" spans="1:18" ht="15.75" customHeight="1" thickTop="1" thickBot="1">
      <c r="A201" s="22" t="s">
        <v>230</v>
      </c>
      <c r="B201" s="7" t="s">
        <v>22</v>
      </c>
      <c r="C201" s="6">
        <v>45369</v>
      </c>
      <c r="D201" s="7" t="s">
        <v>14</v>
      </c>
      <c r="E201" s="5" t="s">
        <v>24</v>
      </c>
      <c r="F201" s="8">
        <v>2033</v>
      </c>
      <c r="G201" s="8">
        <v>420</v>
      </c>
      <c r="H201" s="8">
        <v>94</v>
      </c>
      <c r="I201" s="8">
        <v>56290</v>
      </c>
      <c r="J201" s="4">
        <f t="shared" si="6"/>
        <v>2547</v>
      </c>
      <c r="K201" s="8">
        <v>57391</v>
      </c>
      <c r="L201" s="8">
        <v>196</v>
      </c>
      <c r="M201" s="5" t="s">
        <v>34</v>
      </c>
      <c r="N201" s="5"/>
      <c r="O201" s="5" t="s">
        <v>16</v>
      </c>
      <c r="P201" s="89">
        <f>IFERROR(VLOOKUP(O201,'[1]Campaign Metadata'!A:C,2,FALSE),"")</f>
        <v>45667</v>
      </c>
      <c r="Q201" s="90">
        <f>IFERROR(VLOOKUP(O201,'[1]Campaign Metadata'!A:C,3,FALSE),"")</f>
        <v>45698</v>
      </c>
      <c r="R201" s="94" t="str">
        <f t="shared" si="7"/>
        <v>Before</v>
      </c>
    </row>
    <row r="202" spans="1:18" ht="15.75" customHeight="1" thickTop="1" thickBot="1">
      <c r="A202" s="23" t="s">
        <v>231</v>
      </c>
      <c r="B202" s="11" t="s">
        <v>22</v>
      </c>
      <c r="C202" s="10">
        <v>45547</v>
      </c>
      <c r="D202" s="11" t="s">
        <v>23</v>
      </c>
      <c r="E202" s="9" t="s">
        <v>344</v>
      </c>
      <c r="F202" s="12">
        <v>1839</v>
      </c>
      <c r="G202" s="12">
        <v>223</v>
      </c>
      <c r="H202" s="12">
        <v>171</v>
      </c>
      <c r="I202" s="12">
        <v>35459</v>
      </c>
      <c r="J202" s="4">
        <f t="shared" si="6"/>
        <v>2233</v>
      </c>
      <c r="K202" s="12">
        <v>69988</v>
      </c>
      <c r="L202" s="12">
        <v>114</v>
      </c>
      <c r="M202" s="9" t="s">
        <v>341</v>
      </c>
      <c r="N202" s="9" t="s">
        <v>34</v>
      </c>
      <c r="O202" s="9" t="s">
        <v>16</v>
      </c>
      <c r="P202" s="89">
        <f>IFERROR(VLOOKUP(O202,'[1]Campaign Metadata'!A:C,2,FALSE),"")</f>
        <v>45667</v>
      </c>
      <c r="Q202" s="90">
        <f>IFERROR(VLOOKUP(O202,'[1]Campaign Metadata'!A:C,3,FALSE),"")</f>
        <v>45698</v>
      </c>
      <c r="R202" s="94" t="str">
        <f t="shared" si="7"/>
        <v>Before</v>
      </c>
    </row>
    <row r="203" spans="1:18" ht="15.75" customHeight="1" thickTop="1" thickBot="1">
      <c r="A203" s="22" t="s">
        <v>232</v>
      </c>
      <c r="B203" s="7" t="s">
        <v>22</v>
      </c>
      <c r="C203" s="6">
        <v>45302</v>
      </c>
      <c r="D203" s="7" t="s">
        <v>23</v>
      </c>
      <c r="E203" s="5" t="s">
        <v>344</v>
      </c>
      <c r="F203" s="8">
        <v>2340</v>
      </c>
      <c r="G203" s="8">
        <v>141</v>
      </c>
      <c r="H203" s="8">
        <v>206</v>
      </c>
      <c r="I203" s="8">
        <v>24916</v>
      </c>
      <c r="J203" s="4">
        <f t="shared" si="6"/>
        <v>2687</v>
      </c>
      <c r="K203" s="8">
        <v>30582</v>
      </c>
      <c r="L203" s="8">
        <v>157</v>
      </c>
      <c r="M203" s="5" t="s">
        <v>37</v>
      </c>
      <c r="N203" s="5" t="s">
        <v>34</v>
      </c>
      <c r="O203" s="5" t="s">
        <v>16</v>
      </c>
      <c r="P203" s="89">
        <f>IFERROR(VLOOKUP(O203,'[1]Campaign Metadata'!A:C,2,FALSE),"")</f>
        <v>45667</v>
      </c>
      <c r="Q203" s="90">
        <f>IFERROR(VLOOKUP(O203,'[1]Campaign Metadata'!A:C,3,FALSE),"")</f>
        <v>45698</v>
      </c>
      <c r="R203" s="94" t="str">
        <f t="shared" si="7"/>
        <v>Before</v>
      </c>
    </row>
    <row r="204" spans="1:18" ht="15.75" customHeight="1" thickTop="1" thickBot="1">
      <c r="A204" s="23" t="s">
        <v>233</v>
      </c>
      <c r="B204" s="11" t="s">
        <v>13</v>
      </c>
      <c r="C204" s="10">
        <v>45571</v>
      </c>
      <c r="D204" s="11" t="s">
        <v>14</v>
      </c>
      <c r="E204" s="9" t="s">
        <v>33</v>
      </c>
      <c r="F204" s="12">
        <v>2080</v>
      </c>
      <c r="G204" s="12">
        <v>389</v>
      </c>
      <c r="H204" s="12">
        <v>92</v>
      </c>
      <c r="I204" s="12">
        <v>30971</v>
      </c>
      <c r="J204" s="4">
        <f t="shared" si="6"/>
        <v>2561</v>
      </c>
      <c r="K204" s="12">
        <v>25347</v>
      </c>
      <c r="L204" s="12">
        <v>111</v>
      </c>
      <c r="M204" s="9" t="s">
        <v>19</v>
      </c>
      <c r="N204" s="9"/>
      <c r="O204" s="9" t="s">
        <v>20</v>
      </c>
      <c r="P204" s="89">
        <f>IFERROR(VLOOKUP(O204,'[1]Campaign Metadata'!A:C,2,FALSE),"")</f>
        <v>45717</v>
      </c>
      <c r="Q204" s="90">
        <f>IFERROR(VLOOKUP(O204,'[1]Campaign Metadata'!A:C,3,FALSE),"")</f>
        <v>45747</v>
      </c>
      <c r="R204" s="94" t="str">
        <f t="shared" si="7"/>
        <v>Before</v>
      </c>
    </row>
    <row r="205" spans="1:18" ht="15.75" customHeight="1" thickTop="1" thickBot="1">
      <c r="A205" s="22" t="s">
        <v>234</v>
      </c>
      <c r="B205" s="7" t="s">
        <v>22</v>
      </c>
      <c r="C205" s="6">
        <v>45656</v>
      </c>
      <c r="D205" s="7" t="s">
        <v>14</v>
      </c>
      <c r="E205" s="5" t="s">
        <v>30</v>
      </c>
      <c r="F205" s="8">
        <v>4214</v>
      </c>
      <c r="G205" s="8">
        <v>286</v>
      </c>
      <c r="H205" s="8">
        <v>127</v>
      </c>
      <c r="I205" s="8">
        <v>47293</v>
      </c>
      <c r="J205" s="4">
        <f t="shared" si="6"/>
        <v>4627</v>
      </c>
      <c r="K205" s="8">
        <v>27184</v>
      </c>
      <c r="L205" s="8">
        <v>232</v>
      </c>
      <c r="M205" s="5" t="s">
        <v>34</v>
      </c>
      <c r="N205" s="5"/>
      <c r="O205" s="5" t="s">
        <v>16</v>
      </c>
      <c r="P205" s="89">
        <f>IFERROR(VLOOKUP(O205,'[1]Campaign Metadata'!A:C,2,FALSE),"")</f>
        <v>45667</v>
      </c>
      <c r="Q205" s="90">
        <f>IFERROR(VLOOKUP(O205,'[1]Campaign Metadata'!A:C,3,FALSE),"")</f>
        <v>45698</v>
      </c>
      <c r="R205" s="94" t="str">
        <f t="shared" si="7"/>
        <v>Before</v>
      </c>
    </row>
    <row r="206" spans="1:18" ht="15.75" customHeight="1" thickTop="1" thickBot="1">
      <c r="A206" s="23" t="s">
        <v>235</v>
      </c>
      <c r="B206" s="11" t="s">
        <v>22</v>
      </c>
      <c r="C206" s="10">
        <v>45763</v>
      </c>
      <c r="D206" s="11" t="s">
        <v>14</v>
      </c>
      <c r="E206" s="9" t="s">
        <v>344</v>
      </c>
      <c r="F206" s="12">
        <v>3792</v>
      </c>
      <c r="G206" s="12">
        <v>315</v>
      </c>
      <c r="H206" s="12">
        <v>120</v>
      </c>
      <c r="I206" s="12">
        <v>54592</v>
      </c>
      <c r="J206" s="4">
        <f t="shared" si="6"/>
        <v>4227</v>
      </c>
      <c r="K206" s="12">
        <v>67886</v>
      </c>
      <c r="L206" s="12">
        <v>117</v>
      </c>
      <c r="M206" s="9" t="s">
        <v>37</v>
      </c>
      <c r="N206" s="9"/>
      <c r="O206" s="9" t="s">
        <v>20</v>
      </c>
      <c r="P206" s="89">
        <f>IFERROR(VLOOKUP(O206,'[1]Campaign Metadata'!A:C,2,FALSE),"")</f>
        <v>45717</v>
      </c>
      <c r="Q206" s="90">
        <f>IFERROR(VLOOKUP(O206,'[1]Campaign Metadata'!A:C,3,FALSE),"")</f>
        <v>45747</v>
      </c>
      <c r="R206" s="94" t="str">
        <f t="shared" si="7"/>
        <v>After</v>
      </c>
    </row>
    <row r="207" spans="1:18" ht="15.75" customHeight="1" thickTop="1" thickBot="1">
      <c r="A207" s="22" t="s">
        <v>236</v>
      </c>
      <c r="B207" s="7" t="s">
        <v>22</v>
      </c>
      <c r="C207" s="6">
        <v>45525</v>
      </c>
      <c r="D207" s="7" t="s">
        <v>23</v>
      </c>
      <c r="E207" s="5" t="s">
        <v>18</v>
      </c>
      <c r="F207" s="8">
        <v>3989</v>
      </c>
      <c r="G207" s="8">
        <v>476</v>
      </c>
      <c r="H207" s="8">
        <v>128</v>
      </c>
      <c r="I207" s="8">
        <v>57569</v>
      </c>
      <c r="J207" s="4">
        <f t="shared" si="6"/>
        <v>4593</v>
      </c>
      <c r="K207" s="8">
        <v>40193</v>
      </c>
      <c r="L207" s="8">
        <v>222</v>
      </c>
      <c r="M207" s="5" t="s">
        <v>19</v>
      </c>
      <c r="N207" s="5" t="s">
        <v>341</v>
      </c>
      <c r="O207" s="5" t="s">
        <v>16</v>
      </c>
      <c r="P207" s="89">
        <f>IFERROR(VLOOKUP(O207,'[1]Campaign Metadata'!A:C,2,FALSE),"")</f>
        <v>45667</v>
      </c>
      <c r="Q207" s="90">
        <f>IFERROR(VLOOKUP(O207,'[1]Campaign Metadata'!A:C,3,FALSE),"")</f>
        <v>45698</v>
      </c>
      <c r="R207" s="94" t="str">
        <f t="shared" si="7"/>
        <v>Before</v>
      </c>
    </row>
    <row r="208" spans="1:18" ht="15.75" customHeight="1" thickTop="1" thickBot="1">
      <c r="A208" s="23" t="s">
        <v>237</v>
      </c>
      <c r="B208" s="11" t="s">
        <v>22</v>
      </c>
      <c r="C208" s="10">
        <v>45387</v>
      </c>
      <c r="D208" s="11" t="s">
        <v>23</v>
      </c>
      <c r="E208" s="9" t="s">
        <v>344</v>
      </c>
      <c r="F208" s="12">
        <v>2857</v>
      </c>
      <c r="G208" s="12">
        <v>443</v>
      </c>
      <c r="H208" s="12">
        <v>359</v>
      </c>
      <c r="I208" s="12">
        <v>51519</v>
      </c>
      <c r="J208" s="4">
        <f t="shared" si="6"/>
        <v>3659</v>
      </c>
      <c r="K208" s="12">
        <v>28256</v>
      </c>
      <c r="L208" s="12">
        <v>155</v>
      </c>
      <c r="M208" s="9" t="s">
        <v>37</v>
      </c>
      <c r="N208" s="9" t="s">
        <v>34</v>
      </c>
      <c r="O208" s="9" t="s">
        <v>16</v>
      </c>
      <c r="P208" s="89">
        <f>IFERROR(VLOOKUP(O208,'[1]Campaign Metadata'!A:C,2,FALSE),"")</f>
        <v>45667</v>
      </c>
      <c r="Q208" s="90">
        <f>IFERROR(VLOOKUP(O208,'[1]Campaign Metadata'!A:C,3,FALSE),"")</f>
        <v>45698</v>
      </c>
      <c r="R208" s="94" t="str">
        <f t="shared" si="7"/>
        <v>Before</v>
      </c>
    </row>
    <row r="209" spans="1:18" ht="15.75" customHeight="1" thickTop="1" thickBot="1">
      <c r="A209" s="22" t="s">
        <v>238</v>
      </c>
      <c r="B209" s="7" t="s">
        <v>22</v>
      </c>
      <c r="C209" s="6">
        <v>45754</v>
      </c>
      <c r="D209" s="7" t="s">
        <v>14</v>
      </c>
      <c r="E209" s="5" t="s">
        <v>347</v>
      </c>
      <c r="F209" s="8">
        <v>1403</v>
      </c>
      <c r="G209" s="8">
        <v>385</v>
      </c>
      <c r="H209" s="8">
        <v>344</v>
      </c>
      <c r="I209" s="8">
        <v>54223</v>
      </c>
      <c r="J209" s="4">
        <f t="shared" si="6"/>
        <v>2132</v>
      </c>
      <c r="K209" s="8">
        <v>72595</v>
      </c>
      <c r="L209" s="8">
        <v>239</v>
      </c>
      <c r="M209" s="5" t="s">
        <v>37</v>
      </c>
      <c r="N209" s="5"/>
      <c r="O209" s="5" t="s">
        <v>20</v>
      </c>
      <c r="P209" s="89">
        <f>IFERROR(VLOOKUP(O209,'[1]Campaign Metadata'!A:C,2,FALSE),"")</f>
        <v>45717</v>
      </c>
      <c r="Q209" s="90">
        <f>IFERROR(VLOOKUP(O209,'[1]Campaign Metadata'!A:C,3,FALSE),"")</f>
        <v>45747</v>
      </c>
      <c r="R209" s="94" t="str">
        <f t="shared" si="7"/>
        <v>After</v>
      </c>
    </row>
    <row r="210" spans="1:18" ht="15.75" customHeight="1" thickTop="1" thickBot="1">
      <c r="A210" s="23" t="s">
        <v>239</v>
      </c>
      <c r="B210" s="11" t="s">
        <v>22</v>
      </c>
      <c r="C210" s="10">
        <v>45492</v>
      </c>
      <c r="D210" s="11" t="s">
        <v>23</v>
      </c>
      <c r="E210" s="9" t="s">
        <v>346</v>
      </c>
      <c r="F210" s="12">
        <v>3071</v>
      </c>
      <c r="G210" s="12">
        <v>126</v>
      </c>
      <c r="H210" s="12">
        <v>200</v>
      </c>
      <c r="I210" s="12">
        <v>44013</v>
      </c>
      <c r="J210" s="4">
        <f t="shared" si="6"/>
        <v>3397</v>
      </c>
      <c r="K210" s="12">
        <v>44679</v>
      </c>
      <c r="L210" s="12">
        <v>118</v>
      </c>
      <c r="M210" s="9" t="s">
        <v>19</v>
      </c>
      <c r="N210" s="9" t="s">
        <v>341</v>
      </c>
      <c r="O210" s="9" t="s">
        <v>16</v>
      </c>
      <c r="P210" s="89">
        <f>IFERROR(VLOOKUP(O210,'[1]Campaign Metadata'!A:C,2,FALSE),"")</f>
        <v>45667</v>
      </c>
      <c r="Q210" s="90">
        <f>IFERROR(VLOOKUP(O210,'[1]Campaign Metadata'!A:C,3,FALSE),"")</f>
        <v>45698</v>
      </c>
      <c r="R210" s="94" t="str">
        <f t="shared" si="7"/>
        <v>Before</v>
      </c>
    </row>
    <row r="211" spans="1:18" ht="15.75" customHeight="1" thickTop="1" thickBot="1">
      <c r="A211" s="22" t="s">
        <v>240</v>
      </c>
      <c r="B211" s="7" t="s">
        <v>22</v>
      </c>
      <c r="C211" s="6">
        <v>45780</v>
      </c>
      <c r="D211" s="7" t="s">
        <v>23</v>
      </c>
      <c r="E211" s="5" t="s">
        <v>33</v>
      </c>
      <c r="F211" s="8">
        <v>1010</v>
      </c>
      <c r="G211" s="8">
        <v>361</v>
      </c>
      <c r="H211" s="8">
        <v>240</v>
      </c>
      <c r="I211" s="8">
        <v>47229</v>
      </c>
      <c r="J211" s="4">
        <f t="shared" si="6"/>
        <v>1611</v>
      </c>
      <c r="K211" s="8">
        <v>72573</v>
      </c>
      <c r="L211" s="8">
        <v>275</v>
      </c>
      <c r="M211" s="5" t="s">
        <v>37</v>
      </c>
      <c r="N211" s="5" t="s">
        <v>34</v>
      </c>
      <c r="O211" s="5" t="s">
        <v>16</v>
      </c>
      <c r="P211" s="89">
        <f>IFERROR(VLOOKUP(O211,'[1]Campaign Metadata'!A:C,2,FALSE),"")</f>
        <v>45667</v>
      </c>
      <c r="Q211" s="90">
        <f>IFERROR(VLOOKUP(O211,'[1]Campaign Metadata'!A:C,3,FALSE),"")</f>
        <v>45698</v>
      </c>
      <c r="R211" s="94" t="str">
        <f t="shared" si="7"/>
        <v>After</v>
      </c>
    </row>
    <row r="212" spans="1:18" ht="15.75" customHeight="1" thickTop="1" thickBot="1">
      <c r="A212" s="23" t="s">
        <v>241</v>
      </c>
      <c r="B212" s="11" t="s">
        <v>22</v>
      </c>
      <c r="C212" s="10">
        <v>45396</v>
      </c>
      <c r="D212" s="11" t="s">
        <v>23</v>
      </c>
      <c r="E212" s="9" t="s">
        <v>15</v>
      </c>
      <c r="F212" s="12">
        <v>1295</v>
      </c>
      <c r="G212" s="12">
        <v>153</v>
      </c>
      <c r="H212" s="12">
        <v>81</v>
      </c>
      <c r="I212" s="12">
        <v>48350</v>
      </c>
      <c r="J212" s="4">
        <f t="shared" si="6"/>
        <v>1529</v>
      </c>
      <c r="K212" s="12">
        <v>61033</v>
      </c>
      <c r="L212" s="12">
        <v>232</v>
      </c>
      <c r="M212" s="9" t="s">
        <v>19</v>
      </c>
      <c r="N212" s="9" t="s">
        <v>341</v>
      </c>
      <c r="O212" s="9" t="s">
        <v>16</v>
      </c>
      <c r="P212" s="89">
        <f>IFERROR(VLOOKUP(O212,'[1]Campaign Metadata'!A:C,2,FALSE),"")</f>
        <v>45667</v>
      </c>
      <c r="Q212" s="90">
        <f>IFERROR(VLOOKUP(O212,'[1]Campaign Metadata'!A:C,3,FALSE),"")</f>
        <v>45698</v>
      </c>
      <c r="R212" s="94" t="str">
        <f t="shared" si="7"/>
        <v>Before</v>
      </c>
    </row>
    <row r="213" spans="1:18" ht="15.75" customHeight="1" thickTop="1" thickBot="1">
      <c r="A213" s="22" t="s">
        <v>242</v>
      </c>
      <c r="B213" s="7" t="s">
        <v>22</v>
      </c>
      <c r="C213" s="6">
        <v>45827</v>
      </c>
      <c r="D213" s="7" t="s">
        <v>23</v>
      </c>
      <c r="E213" s="5" t="s">
        <v>346</v>
      </c>
      <c r="F213" s="8">
        <v>1433</v>
      </c>
      <c r="G213" s="8">
        <v>452</v>
      </c>
      <c r="H213" s="8">
        <v>305</v>
      </c>
      <c r="I213" s="8">
        <v>54541</v>
      </c>
      <c r="J213" s="4">
        <f t="shared" si="6"/>
        <v>2190</v>
      </c>
      <c r="K213" s="8">
        <v>63700</v>
      </c>
      <c r="L213" s="8">
        <v>296</v>
      </c>
      <c r="M213" s="5" t="s">
        <v>19</v>
      </c>
      <c r="N213" s="5" t="s">
        <v>341</v>
      </c>
      <c r="O213" s="5" t="s">
        <v>16</v>
      </c>
      <c r="P213" s="89">
        <f>IFERROR(VLOOKUP(O213,'[1]Campaign Metadata'!A:C,2,FALSE),"")</f>
        <v>45667</v>
      </c>
      <c r="Q213" s="90">
        <f>IFERROR(VLOOKUP(O213,'[1]Campaign Metadata'!A:C,3,FALSE),"")</f>
        <v>45698</v>
      </c>
      <c r="R213" s="94" t="str">
        <f t="shared" si="7"/>
        <v>After</v>
      </c>
    </row>
    <row r="214" spans="1:18" ht="15.75" customHeight="1" thickTop="1" thickBot="1">
      <c r="A214" s="23" t="s">
        <v>243</v>
      </c>
      <c r="B214" s="11" t="s">
        <v>13</v>
      </c>
      <c r="C214" s="10">
        <v>45832</v>
      </c>
      <c r="D214" s="11" t="s">
        <v>23</v>
      </c>
      <c r="E214" s="9" t="s">
        <v>30</v>
      </c>
      <c r="F214" s="12">
        <v>4902</v>
      </c>
      <c r="G214" s="12">
        <v>422</v>
      </c>
      <c r="H214" s="12">
        <v>376</v>
      </c>
      <c r="I214" s="12">
        <v>31674</v>
      </c>
      <c r="J214" s="4">
        <f t="shared" si="6"/>
        <v>5700</v>
      </c>
      <c r="K214" s="12">
        <v>53225</v>
      </c>
      <c r="L214" s="12">
        <v>147</v>
      </c>
      <c r="M214" s="9" t="s">
        <v>34</v>
      </c>
      <c r="N214" s="9"/>
      <c r="O214" s="9" t="s">
        <v>46</v>
      </c>
      <c r="P214" s="89">
        <f>IFERROR(VLOOKUP(O214,'[1]Campaign Metadata'!A:C,2,FALSE),"")</f>
        <v>45627</v>
      </c>
      <c r="Q214" s="90">
        <f>IFERROR(VLOOKUP(O214,'[1]Campaign Metadata'!A:C,3,FALSE),"")</f>
        <v>45657</v>
      </c>
      <c r="R214" s="94" t="str">
        <f t="shared" si="7"/>
        <v>After</v>
      </c>
    </row>
    <row r="215" spans="1:18" ht="15.75" customHeight="1" thickTop="1" thickBot="1">
      <c r="A215" s="22" t="s">
        <v>244</v>
      </c>
      <c r="B215" s="7" t="s">
        <v>22</v>
      </c>
      <c r="C215" s="6">
        <v>45574</v>
      </c>
      <c r="D215" s="7" t="s">
        <v>14</v>
      </c>
      <c r="E215" s="5" t="s">
        <v>344</v>
      </c>
      <c r="F215" s="8">
        <v>2659</v>
      </c>
      <c r="G215" s="8">
        <v>167</v>
      </c>
      <c r="H215" s="8">
        <v>73</v>
      </c>
      <c r="I215" s="8">
        <v>23090</v>
      </c>
      <c r="J215" s="4">
        <f t="shared" si="6"/>
        <v>2899</v>
      </c>
      <c r="K215" s="8">
        <v>25872</v>
      </c>
      <c r="L215" s="8">
        <v>293</v>
      </c>
      <c r="M215" s="5" t="s">
        <v>37</v>
      </c>
      <c r="N215" s="5"/>
      <c r="O215" s="5" t="s">
        <v>20</v>
      </c>
      <c r="P215" s="89">
        <f>IFERROR(VLOOKUP(O215,'[1]Campaign Metadata'!A:C,2,FALSE),"")</f>
        <v>45717</v>
      </c>
      <c r="Q215" s="90">
        <f>IFERROR(VLOOKUP(O215,'[1]Campaign Metadata'!A:C,3,FALSE),"")</f>
        <v>45747</v>
      </c>
      <c r="R215" s="94" t="str">
        <f t="shared" si="7"/>
        <v>Before</v>
      </c>
    </row>
    <row r="216" spans="1:18" ht="15.75" customHeight="1" thickTop="1" thickBot="1">
      <c r="A216" s="23" t="s">
        <v>245</v>
      </c>
      <c r="B216" s="11" t="s">
        <v>27</v>
      </c>
      <c r="C216" s="10">
        <v>45672</v>
      </c>
      <c r="D216" s="11" t="s">
        <v>14</v>
      </c>
      <c r="E216" s="9" t="s">
        <v>42</v>
      </c>
      <c r="F216" s="12">
        <v>2599</v>
      </c>
      <c r="G216" s="12">
        <v>324</v>
      </c>
      <c r="H216" s="12">
        <v>182</v>
      </c>
      <c r="I216" s="12">
        <v>37525</v>
      </c>
      <c r="J216" s="4">
        <f t="shared" si="6"/>
        <v>3105</v>
      </c>
      <c r="K216" s="12">
        <v>37216</v>
      </c>
      <c r="L216" s="12">
        <v>186</v>
      </c>
      <c r="M216" s="9" t="s">
        <v>19</v>
      </c>
      <c r="N216" s="9" t="s">
        <v>340</v>
      </c>
      <c r="O216" s="9" t="s">
        <v>20</v>
      </c>
      <c r="P216" s="89">
        <f>IFERROR(VLOOKUP(O216,'[1]Campaign Metadata'!A:C,2,FALSE),"")</f>
        <v>45717</v>
      </c>
      <c r="Q216" s="90">
        <f>IFERROR(VLOOKUP(O216,'[1]Campaign Metadata'!A:C,3,FALSE),"")</f>
        <v>45747</v>
      </c>
      <c r="R216" s="94" t="str">
        <f t="shared" si="7"/>
        <v>Before</v>
      </c>
    </row>
    <row r="217" spans="1:18" ht="15.75" customHeight="1" thickTop="1" thickBot="1">
      <c r="A217" s="22" t="s">
        <v>246</v>
      </c>
      <c r="B217" s="7" t="s">
        <v>22</v>
      </c>
      <c r="C217" s="6">
        <v>45669</v>
      </c>
      <c r="D217" s="7" t="s">
        <v>14</v>
      </c>
      <c r="E217" s="5" t="s">
        <v>345</v>
      </c>
      <c r="F217" s="8">
        <v>1765</v>
      </c>
      <c r="G217" s="8">
        <v>285</v>
      </c>
      <c r="H217" s="8">
        <v>100</v>
      </c>
      <c r="I217" s="8">
        <v>41313</v>
      </c>
      <c r="J217" s="4">
        <f t="shared" si="6"/>
        <v>2150</v>
      </c>
      <c r="K217" s="8">
        <v>56575</v>
      </c>
      <c r="L217" s="8">
        <v>174</v>
      </c>
      <c r="M217" s="5" t="s">
        <v>37</v>
      </c>
      <c r="N217" s="5"/>
      <c r="O217" s="5" t="s">
        <v>20</v>
      </c>
      <c r="P217" s="89">
        <f>IFERROR(VLOOKUP(O217,'[1]Campaign Metadata'!A:C,2,FALSE),"")</f>
        <v>45717</v>
      </c>
      <c r="Q217" s="90">
        <f>IFERROR(VLOOKUP(O217,'[1]Campaign Metadata'!A:C,3,FALSE),"")</f>
        <v>45747</v>
      </c>
      <c r="R217" s="94" t="str">
        <f t="shared" si="7"/>
        <v>Before</v>
      </c>
    </row>
    <row r="218" spans="1:18" ht="15.75" customHeight="1" thickTop="1" thickBot="1">
      <c r="A218" s="23" t="s">
        <v>247</v>
      </c>
      <c r="B218" s="11" t="s">
        <v>13</v>
      </c>
      <c r="C218" s="10">
        <v>45808</v>
      </c>
      <c r="D218" s="11" t="s">
        <v>14</v>
      </c>
      <c r="E218" s="9" t="s">
        <v>346</v>
      </c>
      <c r="F218" s="12">
        <v>2169</v>
      </c>
      <c r="G218" s="12">
        <v>240</v>
      </c>
      <c r="H218" s="12">
        <v>57</v>
      </c>
      <c r="I218" s="12">
        <v>26109</v>
      </c>
      <c r="J218" s="4">
        <f t="shared" si="6"/>
        <v>2466</v>
      </c>
      <c r="K218" s="12">
        <v>46667</v>
      </c>
      <c r="L218" s="12">
        <v>133</v>
      </c>
      <c r="M218" s="9" t="s">
        <v>37</v>
      </c>
      <c r="N218" s="9" t="s">
        <v>34</v>
      </c>
      <c r="O218" s="9" t="s">
        <v>16</v>
      </c>
      <c r="P218" s="89">
        <f>IFERROR(VLOOKUP(O218,'[1]Campaign Metadata'!A:C,2,FALSE),"")</f>
        <v>45667</v>
      </c>
      <c r="Q218" s="90">
        <f>IFERROR(VLOOKUP(O218,'[1]Campaign Metadata'!A:C,3,FALSE),"")</f>
        <v>45698</v>
      </c>
      <c r="R218" s="94" t="str">
        <f t="shared" si="7"/>
        <v>After</v>
      </c>
    </row>
    <row r="219" spans="1:18" ht="15.75" customHeight="1" thickTop="1" thickBot="1">
      <c r="A219" s="22" t="s">
        <v>248</v>
      </c>
      <c r="B219" s="7" t="s">
        <v>22</v>
      </c>
      <c r="C219" s="6">
        <v>45579</v>
      </c>
      <c r="D219" s="7" t="s">
        <v>23</v>
      </c>
      <c r="E219" s="5" t="s">
        <v>18</v>
      </c>
      <c r="F219" s="8">
        <v>4303</v>
      </c>
      <c r="G219" s="8">
        <v>306</v>
      </c>
      <c r="H219" s="8">
        <v>302</v>
      </c>
      <c r="I219" s="8">
        <v>39575</v>
      </c>
      <c r="J219" s="4">
        <f t="shared" si="6"/>
        <v>4911</v>
      </c>
      <c r="K219" s="8">
        <v>33762</v>
      </c>
      <c r="L219" s="8">
        <v>265</v>
      </c>
      <c r="M219" s="5" t="s">
        <v>19</v>
      </c>
      <c r="N219" s="5" t="s">
        <v>341</v>
      </c>
      <c r="O219" s="5" t="s">
        <v>16</v>
      </c>
      <c r="P219" s="89">
        <f>IFERROR(VLOOKUP(O219,'[1]Campaign Metadata'!A:C,2,FALSE),"")</f>
        <v>45667</v>
      </c>
      <c r="Q219" s="90">
        <f>IFERROR(VLOOKUP(O219,'[1]Campaign Metadata'!A:C,3,FALSE),"")</f>
        <v>45698</v>
      </c>
      <c r="R219" s="94" t="str">
        <f t="shared" si="7"/>
        <v>Before</v>
      </c>
    </row>
    <row r="220" spans="1:18" ht="15.75" customHeight="1" thickTop="1" thickBot="1">
      <c r="A220" s="23" t="s">
        <v>249</v>
      </c>
      <c r="B220" s="11" t="s">
        <v>22</v>
      </c>
      <c r="C220" s="10">
        <v>45332</v>
      </c>
      <c r="D220" s="11" t="s">
        <v>14</v>
      </c>
      <c r="E220" s="9" t="s">
        <v>347</v>
      </c>
      <c r="F220" s="12">
        <v>1519</v>
      </c>
      <c r="G220" s="12">
        <v>456</v>
      </c>
      <c r="H220" s="12">
        <v>379</v>
      </c>
      <c r="I220" s="12">
        <v>51611</v>
      </c>
      <c r="J220" s="4">
        <f t="shared" si="6"/>
        <v>2354</v>
      </c>
      <c r="K220" s="12">
        <v>45880</v>
      </c>
      <c r="L220" s="12">
        <v>176</v>
      </c>
      <c r="M220" s="9" t="s">
        <v>37</v>
      </c>
      <c r="N220" s="9"/>
      <c r="O220" s="9" t="s">
        <v>20</v>
      </c>
      <c r="P220" s="89">
        <f>IFERROR(VLOOKUP(O220,'[1]Campaign Metadata'!A:C,2,FALSE),"")</f>
        <v>45717</v>
      </c>
      <c r="Q220" s="90">
        <f>IFERROR(VLOOKUP(O220,'[1]Campaign Metadata'!A:C,3,FALSE),"")</f>
        <v>45747</v>
      </c>
      <c r="R220" s="94" t="str">
        <f t="shared" si="7"/>
        <v>Before</v>
      </c>
    </row>
    <row r="221" spans="1:18" ht="15.75" customHeight="1" thickTop="1" thickBot="1">
      <c r="A221" s="22" t="s">
        <v>250</v>
      </c>
      <c r="B221" s="7" t="s">
        <v>27</v>
      </c>
      <c r="C221" s="6">
        <v>45636</v>
      </c>
      <c r="D221" s="7" t="s">
        <v>14</v>
      </c>
      <c r="E221" s="5" t="s">
        <v>346</v>
      </c>
      <c r="F221" s="8">
        <v>2569</v>
      </c>
      <c r="G221" s="8">
        <v>140</v>
      </c>
      <c r="H221" s="8">
        <v>375</v>
      </c>
      <c r="I221" s="8">
        <v>38372</v>
      </c>
      <c r="J221" s="4">
        <f t="shared" si="6"/>
        <v>3084</v>
      </c>
      <c r="K221" s="8">
        <v>22102</v>
      </c>
      <c r="L221" s="8">
        <v>255</v>
      </c>
      <c r="M221" s="5" t="s">
        <v>19</v>
      </c>
      <c r="N221" s="5" t="s">
        <v>340</v>
      </c>
      <c r="O221" s="5" t="s">
        <v>20</v>
      </c>
      <c r="P221" s="89">
        <f>IFERROR(VLOOKUP(O221,'[1]Campaign Metadata'!A:C,2,FALSE),"")</f>
        <v>45717</v>
      </c>
      <c r="Q221" s="90">
        <f>IFERROR(VLOOKUP(O221,'[1]Campaign Metadata'!A:C,3,FALSE),"")</f>
        <v>45747</v>
      </c>
      <c r="R221" s="94" t="str">
        <f t="shared" si="7"/>
        <v>Before</v>
      </c>
    </row>
    <row r="222" spans="1:18" ht="15.75" customHeight="1" thickTop="1" thickBot="1">
      <c r="A222" s="23" t="s">
        <v>251</v>
      </c>
      <c r="B222" s="11" t="s">
        <v>22</v>
      </c>
      <c r="C222" s="10">
        <v>45786</v>
      </c>
      <c r="D222" s="11" t="s">
        <v>23</v>
      </c>
      <c r="E222" s="9" t="s">
        <v>345</v>
      </c>
      <c r="F222" s="12">
        <v>2778</v>
      </c>
      <c r="G222" s="12">
        <v>241</v>
      </c>
      <c r="H222" s="12">
        <v>317</v>
      </c>
      <c r="I222" s="12">
        <v>26247</v>
      </c>
      <c r="J222" s="4">
        <f t="shared" si="6"/>
        <v>3336</v>
      </c>
      <c r="K222" s="12">
        <v>20677</v>
      </c>
      <c r="L222" s="12">
        <v>282</v>
      </c>
      <c r="M222" s="9" t="s">
        <v>341</v>
      </c>
      <c r="N222" s="9" t="s">
        <v>34</v>
      </c>
      <c r="O222" s="9" t="s">
        <v>16</v>
      </c>
      <c r="P222" s="89">
        <f>IFERROR(VLOOKUP(O222,'[1]Campaign Metadata'!A:C,2,FALSE),"")</f>
        <v>45667</v>
      </c>
      <c r="Q222" s="90">
        <f>IFERROR(VLOOKUP(O222,'[1]Campaign Metadata'!A:C,3,FALSE),"")</f>
        <v>45698</v>
      </c>
      <c r="R222" s="94" t="str">
        <f t="shared" si="7"/>
        <v>After</v>
      </c>
    </row>
    <row r="223" spans="1:18" ht="15.75" customHeight="1" thickTop="1" thickBot="1">
      <c r="A223" s="22" t="s">
        <v>252</v>
      </c>
      <c r="B223" s="7" t="s">
        <v>22</v>
      </c>
      <c r="C223" s="6">
        <v>45829</v>
      </c>
      <c r="D223" s="7" t="s">
        <v>14</v>
      </c>
      <c r="E223" s="5" t="s">
        <v>18</v>
      </c>
      <c r="F223" s="8">
        <v>3611</v>
      </c>
      <c r="G223" s="8">
        <v>127</v>
      </c>
      <c r="H223" s="8">
        <v>139</v>
      </c>
      <c r="I223" s="8">
        <v>44768</v>
      </c>
      <c r="J223" s="4">
        <f t="shared" si="6"/>
        <v>3877</v>
      </c>
      <c r="K223" s="8">
        <v>29435</v>
      </c>
      <c r="L223" s="8">
        <v>178</v>
      </c>
      <c r="M223" s="5" t="s">
        <v>34</v>
      </c>
      <c r="N223" s="5"/>
      <c r="O223" s="5" t="s">
        <v>16</v>
      </c>
      <c r="P223" s="89">
        <f>IFERROR(VLOOKUP(O223,'[1]Campaign Metadata'!A:C,2,FALSE),"")</f>
        <v>45667</v>
      </c>
      <c r="Q223" s="90">
        <f>IFERROR(VLOOKUP(O223,'[1]Campaign Metadata'!A:C,3,FALSE),"")</f>
        <v>45698</v>
      </c>
      <c r="R223" s="94" t="str">
        <f t="shared" si="7"/>
        <v>After</v>
      </c>
    </row>
    <row r="224" spans="1:18" ht="15.75" customHeight="1" thickTop="1" thickBot="1">
      <c r="A224" s="23" t="s">
        <v>253</v>
      </c>
      <c r="B224" s="11" t="s">
        <v>22</v>
      </c>
      <c r="C224" s="10">
        <v>45462</v>
      </c>
      <c r="D224" s="11" t="s">
        <v>14</v>
      </c>
      <c r="E224" s="9" t="s">
        <v>346</v>
      </c>
      <c r="F224" s="12">
        <v>1224</v>
      </c>
      <c r="G224" s="12">
        <v>168</v>
      </c>
      <c r="H224" s="12">
        <v>199</v>
      </c>
      <c r="I224" s="12">
        <v>54232</v>
      </c>
      <c r="J224" s="4">
        <f t="shared" si="6"/>
        <v>1591</v>
      </c>
      <c r="K224" s="12">
        <v>52844</v>
      </c>
      <c r="L224" s="12">
        <v>271</v>
      </c>
      <c r="M224" s="9" t="s">
        <v>37</v>
      </c>
      <c r="N224" s="9"/>
      <c r="O224" s="9" t="s">
        <v>20</v>
      </c>
      <c r="P224" s="89">
        <f>IFERROR(VLOOKUP(O224,'[1]Campaign Metadata'!A:C,2,FALSE),"")</f>
        <v>45717</v>
      </c>
      <c r="Q224" s="90">
        <f>IFERROR(VLOOKUP(O224,'[1]Campaign Metadata'!A:C,3,FALSE),"")</f>
        <v>45747</v>
      </c>
      <c r="R224" s="94" t="str">
        <f t="shared" si="7"/>
        <v>Before</v>
      </c>
    </row>
    <row r="225" spans="1:18" ht="15.75" customHeight="1" thickTop="1" thickBot="1">
      <c r="A225" s="22" t="s">
        <v>254</v>
      </c>
      <c r="B225" s="7" t="s">
        <v>22</v>
      </c>
      <c r="C225" s="6">
        <v>45636</v>
      </c>
      <c r="D225" s="7" t="s">
        <v>14</v>
      </c>
      <c r="E225" s="5" t="s">
        <v>347</v>
      </c>
      <c r="F225" s="8">
        <v>4673</v>
      </c>
      <c r="G225" s="8">
        <v>270</v>
      </c>
      <c r="H225" s="8">
        <v>93</v>
      </c>
      <c r="I225" s="8">
        <v>45260</v>
      </c>
      <c r="J225" s="4">
        <f t="shared" si="6"/>
        <v>5036</v>
      </c>
      <c r="K225" s="8">
        <v>57513</v>
      </c>
      <c r="L225" s="8">
        <v>103</v>
      </c>
      <c r="M225" s="5" t="s">
        <v>34</v>
      </c>
      <c r="N225" s="5"/>
      <c r="O225" s="5" t="s">
        <v>16</v>
      </c>
      <c r="P225" s="89">
        <f>IFERROR(VLOOKUP(O225,'[1]Campaign Metadata'!A:C,2,FALSE),"")</f>
        <v>45667</v>
      </c>
      <c r="Q225" s="90">
        <f>IFERROR(VLOOKUP(O225,'[1]Campaign Metadata'!A:C,3,FALSE),"")</f>
        <v>45698</v>
      </c>
      <c r="R225" s="94" t="str">
        <f t="shared" si="7"/>
        <v>Before</v>
      </c>
    </row>
    <row r="226" spans="1:18" ht="15.75" customHeight="1" thickTop="1" thickBot="1">
      <c r="A226" s="23" t="s">
        <v>255</v>
      </c>
      <c r="B226" s="11" t="s">
        <v>27</v>
      </c>
      <c r="C226" s="10">
        <v>45323</v>
      </c>
      <c r="D226" s="11" t="s">
        <v>14</v>
      </c>
      <c r="E226" s="9" t="s">
        <v>344</v>
      </c>
      <c r="F226" s="12">
        <v>1432</v>
      </c>
      <c r="G226" s="12">
        <v>437</v>
      </c>
      <c r="H226" s="12">
        <v>267</v>
      </c>
      <c r="I226" s="12">
        <v>40634</v>
      </c>
      <c r="J226" s="4">
        <f t="shared" si="6"/>
        <v>2136</v>
      </c>
      <c r="K226" s="12">
        <v>54511</v>
      </c>
      <c r="L226" s="12">
        <v>197</v>
      </c>
      <c r="M226" s="9" t="s">
        <v>19</v>
      </c>
      <c r="N226" s="9" t="s">
        <v>340</v>
      </c>
      <c r="O226" s="9" t="s">
        <v>20</v>
      </c>
      <c r="P226" s="89">
        <f>IFERROR(VLOOKUP(O226,'[1]Campaign Metadata'!A:C,2,FALSE),"")</f>
        <v>45717</v>
      </c>
      <c r="Q226" s="90">
        <f>IFERROR(VLOOKUP(O226,'[1]Campaign Metadata'!A:C,3,FALSE),"")</f>
        <v>45747</v>
      </c>
      <c r="R226" s="94" t="str">
        <f t="shared" si="7"/>
        <v>Before</v>
      </c>
    </row>
    <row r="227" spans="1:18" ht="15.75" customHeight="1" thickTop="1" thickBot="1">
      <c r="A227" s="22" t="s">
        <v>256</v>
      </c>
      <c r="B227" s="7" t="s">
        <v>22</v>
      </c>
      <c r="C227" s="6">
        <v>45308</v>
      </c>
      <c r="D227" s="7" t="s">
        <v>23</v>
      </c>
      <c r="E227" s="5" t="s">
        <v>24</v>
      </c>
      <c r="F227" s="8">
        <v>2174</v>
      </c>
      <c r="G227" s="8">
        <v>499</v>
      </c>
      <c r="H227" s="8">
        <v>212</v>
      </c>
      <c r="I227" s="8">
        <v>54938</v>
      </c>
      <c r="J227" s="4">
        <f t="shared" si="6"/>
        <v>2885</v>
      </c>
      <c r="K227" s="8">
        <v>27190</v>
      </c>
      <c r="L227" s="8">
        <v>265</v>
      </c>
      <c r="M227" s="5" t="s">
        <v>341</v>
      </c>
      <c r="N227" s="5" t="s">
        <v>34</v>
      </c>
      <c r="O227" s="5" t="s">
        <v>16</v>
      </c>
      <c r="P227" s="89">
        <f>IFERROR(VLOOKUP(O227,'[1]Campaign Metadata'!A:C,2,FALSE),"")</f>
        <v>45667</v>
      </c>
      <c r="Q227" s="90">
        <f>IFERROR(VLOOKUP(O227,'[1]Campaign Metadata'!A:C,3,FALSE),"")</f>
        <v>45698</v>
      </c>
      <c r="R227" s="94" t="str">
        <f t="shared" si="7"/>
        <v>Before</v>
      </c>
    </row>
    <row r="228" spans="1:18" ht="15.75" customHeight="1" thickTop="1" thickBot="1">
      <c r="A228" s="23" t="s">
        <v>257</v>
      </c>
      <c r="B228" s="11" t="s">
        <v>27</v>
      </c>
      <c r="C228" s="10">
        <v>45738</v>
      </c>
      <c r="D228" s="11" t="s">
        <v>14</v>
      </c>
      <c r="E228" s="9" t="s">
        <v>345</v>
      </c>
      <c r="F228" s="12">
        <v>4308</v>
      </c>
      <c r="G228" s="12">
        <v>171</v>
      </c>
      <c r="H228" s="12">
        <v>106</v>
      </c>
      <c r="I228" s="12">
        <v>36955</v>
      </c>
      <c r="J228" s="4">
        <f t="shared" si="6"/>
        <v>4585</v>
      </c>
      <c r="K228" s="12">
        <v>23949</v>
      </c>
      <c r="L228" s="12">
        <v>294</v>
      </c>
      <c r="M228" s="9" t="s">
        <v>19</v>
      </c>
      <c r="N228" s="9" t="s">
        <v>340</v>
      </c>
      <c r="O228" s="9" t="s">
        <v>20</v>
      </c>
      <c r="P228" s="89">
        <f>IFERROR(VLOOKUP(O228,'[1]Campaign Metadata'!A:C,2,FALSE),"")</f>
        <v>45717</v>
      </c>
      <c r="Q228" s="90">
        <f>IFERROR(VLOOKUP(O228,'[1]Campaign Metadata'!A:C,3,FALSE),"")</f>
        <v>45747</v>
      </c>
      <c r="R228" s="94" t="str">
        <f t="shared" si="7"/>
        <v>During</v>
      </c>
    </row>
    <row r="229" spans="1:18" ht="15.75" customHeight="1" thickTop="1" thickBot="1">
      <c r="A229" s="22" t="s">
        <v>258</v>
      </c>
      <c r="B229" s="7" t="s">
        <v>27</v>
      </c>
      <c r="C229" s="6">
        <v>45442</v>
      </c>
      <c r="D229" s="7" t="s">
        <v>48</v>
      </c>
      <c r="E229" s="5" t="s">
        <v>346</v>
      </c>
      <c r="F229" s="8">
        <v>1060</v>
      </c>
      <c r="G229" s="8">
        <v>442</v>
      </c>
      <c r="H229" s="8">
        <v>319</v>
      </c>
      <c r="I229" s="8">
        <v>57194</v>
      </c>
      <c r="J229" s="4">
        <f t="shared" si="6"/>
        <v>1821</v>
      </c>
      <c r="K229" s="8">
        <v>24258</v>
      </c>
      <c r="L229" s="8">
        <v>101</v>
      </c>
      <c r="M229" s="5" t="s">
        <v>19</v>
      </c>
      <c r="N229" s="5" t="s">
        <v>37</v>
      </c>
      <c r="O229" s="5" t="s">
        <v>49</v>
      </c>
      <c r="P229" s="89">
        <f>IFERROR(VLOOKUP(O229,'[1]Campaign Metadata'!A:C,2,FALSE),"")</f>
        <v>45458</v>
      </c>
      <c r="Q229" s="90">
        <f>IFERROR(VLOOKUP(O229,'[1]Campaign Metadata'!A:C,3,FALSE),"")</f>
        <v>45488</v>
      </c>
      <c r="R229" s="94" t="str">
        <f t="shared" si="7"/>
        <v>Before</v>
      </c>
    </row>
    <row r="230" spans="1:18" ht="15.75" customHeight="1" thickTop="1" thickBot="1">
      <c r="A230" s="23" t="s">
        <v>259</v>
      </c>
      <c r="B230" s="11" t="s">
        <v>27</v>
      </c>
      <c r="C230" s="10">
        <v>45346</v>
      </c>
      <c r="D230" s="11" t="s">
        <v>14</v>
      </c>
      <c r="E230" s="9" t="s">
        <v>345</v>
      </c>
      <c r="F230" s="12">
        <v>4653</v>
      </c>
      <c r="G230" s="12">
        <v>226</v>
      </c>
      <c r="H230" s="12">
        <v>349</v>
      </c>
      <c r="I230" s="12">
        <v>56876</v>
      </c>
      <c r="J230" s="4">
        <f t="shared" si="6"/>
        <v>5228</v>
      </c>
      <c r="K230" s="12">
        <v>28452</v>
      </c>
      <c r="L230" s="12">
        <v>257</v>
      </c>
      <c r="M230" s="9" t="s">
        <v>19</v>
      </c>
      <c r="N230" s="9" t="s">
        <v>340</v>
      </c>
      <c r="O230" s="9" t="s">
        <v>20</v>
      </c>
      <c r="P230" s="89">
        <f>IFERROR(VLOOKUP(O230,'[1]Campaign Metadata'!A:C,2,FALSE),"")</f>
        <v>45717</v>
      </c>
      <c r="Q230" s="90">
        <f>IFERROR(VLOOKUP(O230,'[1]Campaign Metadata'!A:C,3,FALSE),"")</f>
        <v>45747</v>
      </c>
      <c r="R230" s="94" t="str">
        <f t="shared" si="7"/>
        <v>Before</v>
      </c>
    </row>
    <row r="231" spans="1:18" ht="15.75" customHeight="1" thickTop="1" thickBot="1">
      <c r="A231" s="22" t="s">
        <v>260</v>
      </c>
      <c r="B231" s="7" t="s">
        <v>27</v>
      </c>
      <c r="C231" s="6">
        <v>45791</v>
      </c>
      <c r="D231" s="7" t="s">
        <v>14</v>
      </c>
      <c r="E231" s="5" t="s">
        <v>15</v>
      </c>
      <c r="F231" s="8">
        <v>1701</v>
      </c>
      <c r="G231" s="8">
        <v>272</v>
      </c>
      <c r="H231" s="8">
        <v>385</v>
      </c>
      <c r="I231" s="8">
        <v>47496</v>
      </c>
      <c r="J231" s="4">
        <f t="shared" si="6"/>
        <v>2358</v>
      </c>
      <c r="K231" s="8">
        <v>40832</v>
      </c>
      <c r="L231" s="8">
        <v>246</v>
      </c>
      <c r="M231" s="5" t="s">
        <v>19</v>
      </c>
      <c r="N231" s="5" t="s">
        <v>340</v>
      </c>
      <c r="O231" s="5" t="s">
        <v>20</v>
      </c>
      <c r="P231" s="89">
        <f>IFERROR(VLOOKUP(O231,'[1]Campaign Metadata'!A:C,2,FALSE),"")</f>
        <v>45717</v>
      </c>
      <c r="Q231" s="90">
        <f>IFERROR(VLOOKUP(O231,'[1]Campaign Metadata'!A:C,3,FALSE),"")</f>
        <v>45747</v>
      </c>
      <c r="R231" s="94" t="str">
        <f t="shared" si="7"/>
        <v>After</v>
      </c>
    </row>
    <row r="232" spans="1:18" ht="15.75" customHeight="1" thickTop="1" thickBot="1">
      <c r="A232" s="23" t="s">
        <v>261</v>
      </c>
      <c r="B232" s="11" t="s">
        <v>13</v>
      </c>
      <c r="C232" s="10">
        <v>45379</v>
      </c>
      <c r="D232" s="11" t="s">
        <v>14</v>
      </c>
      <c r="E232" s="9" t="s">
        <v>346</v>
      </c>
      <c r="F232" s="12">
        <v>1673</v>
      </c>
      <c r="G232" s="12">
        <v>280</v>
      </c>
      <c r="H232" s="12">
        <v>67</v>
      </c>
      <c r="I232" s="12">
        <v>29847</v>
      </c>
      <c r="J232" s="4">
        <f t="shared" si="6"/>
        <v>2020</v>
      </c>
      <c r="K232" s="12">
        <v>48016</v>
      </c>
      <c r="L232" s="12">
        <v>213</v>
      </c>
      <c r="M232" s="9" t="s">
        <v>37</v>
      </c>
      <c r="N232" s="9" t="s">
        <v>34</v>
      </c>
      <c r="O232" s="9" t="s">
        <v>16</v>
      </c>
      <c r="P232" s="89">
        <f>IFERROR(VLOOKUP(O232,'[1]Campaign Metadata'!A:C,2,FALSE),"")</f>
        <v>45667</v>
      </c>
      <c r="Q232" s="90">
        <f>IFERROR(VLOOKUP(O232,'[1]Campaign Metadata'!A:C,3,FALSE),"")</f>
        <v>45698</v>
      </c>
      <c r="R232" s="94" t="str">
        <f t="shared" si="7"/>
        <v>Before</v>
      </c>
    </row>
    <row r="233" spans="1:18" ht="15.75" customHeight="1" thickTop="1" thickBot="1">
      <c r="A233" s="22" t="s">
        <v>262</v>
      </c>
      <c r="B233" s="7" t="s">
        <v>27</v>
      </c>
      <c r="C233" s="6">
        <v>45723</v>
      </c>
      <c r="D233" s="7" t="s">
        <v>14</v>
      </c>
      <c r="E233" s="5" t="s">
        <v>33</v>
      </c>
      <c r="F233" s="8">
        <v>4310</v>
      </c>
      <c r="G233" s="8">
        <v>284</v>
      </c>
      <c r="H233" s="8">
        <v>306</v>
      </c>
      <c r="I233" s="8">
        <v>44606</v>
      </c>
      <c r="J233" s="4">
        <f t="shared" si="6"/>
        <v>4900</v>
      </c>
      <c r="K233" s="8">
        <v>42604</v>
      </c>
      <c r="L233" s="8">
        <v>290</v>
      </c>
      <c r="M233" s="5" t="s">
        <v>19</v>
      </c>
      <c r="N233" s="5" t="s">
        <v>340</v>
      </c>
      <c r="O233" s="5" t="s">
        <v>20</v>
      </c>
      <c r="P233" s="89">
        <f>IFERROR(VLOOKUP(O233,'[1]Campaign Metadata'!A:C,2,FALSE),"")</f>
        <v>45717</v>
      </c>
      <c r="Q233" s="90">
        <f>IFERROR(VLOOKUP(O233,'[1]Campaign Metadata'!A:C,3,FALSE),"")</f>
        <v>45747</v>
      </c>
      <c r="R233" s="94" t="str">
        <f t="shared" si="7"/>
        <v>During</v>
      </c>
    </row>
    <row r="234" spans="1:18" ht="15.75" customHeight="1" thickTop="1" thickBot="1">
      <c r="A234" s="23" t="s">
        <v>263</v>
      </c>
      <c r="B234" s="11" t="s">
        <v>22</v>
      </c>
      <c r="C234" s="10">
        <v>45585</v>
      </c>
      <c r="D234" s="11" t="s">
        <v>14</v>
      </c>
      <c r="E234" s="9" t="s">
        <v>347</v>
      </c>
      <c r="F234" s="12">
        <v>2752</v>
      </c>
      <c r="G234" s="12">
        <v>309</v>
      </c>
      <c r="H234" s="12">
        <v>91</v>
      </c>
      <c r="I234" s="12">
        <v>39038</v>
      </c>
      <c r="J234" s="4">
        <f t="shared" si="6"/>
        <v>3152</v>
      </c>
      <c r="K234" s="12">
        <v>28095</v>
      </c>
      <c r="L234" s="12">
        <v>277</v>
      </c>
      <c r="M234" s="9" t="s">
        <v>34</v>
      </c>
      <c r="N234" s="9"/>
      <c r="O234" s="9" t="s">
        <v>16</v>
      </c>
      <c r="P234" s="89">
        <f>IFERROR(VLOOKUP(O234,'[1]Campaign Metadata'!A:C,2,FALSE),"")</f>
        <v>45667</v>
      </c>
      <c r="Q234" s="90">
        <f>IFERROR(VLOOKUP(O234,'[1]Campaign Metadata'!A:C,3,FALSE),"")</f>
        <v>45698</v>
      </c>
      <c r="R234" s="94" t="str">
        <f t="shared" si="7"/>
        <v>Before</v>
      </c>
    </row>
    <row r="235" spans="1:18" ht="15.75" customHeight="1" thickTop="1" thickBot="1">
      <c r="A235" s="22" t="s">
        <v>264</v>
      </c>
      <c r="B235" s="7" t="s">
        <v>22</v>
      </c>
      <c r="C235" s="6">
        <v>45324</v>
      </c>
      <c r="D235" s="7" t="s">
        <v>14</v>
      </c>
      <c r="E235" s="5" t="s">
        <v>347</v>
      </c>
      <c r="F235" s="8">
        <v>3818</v>
      </c>
      <c r="G235" s="8">
        <v>115</v>
      </c>
      <c r="H235" s="8">
        <v>286</v>
      </c>
      <c r="I235" s="8">
        <v>25127</v>
      </c>
      <c r="J235" s="4">
        <f t="shared" si="6"/>
        <v>4219</v>
      </c>
      <c r="K235" s="8">
        <v>22277</v>
      </c>
      <c r="L235" s="8">
        <v>263</v>
      </c>
      <c r="M235" s="5" t="s">
        <v>34</v>
      </c>
      <c r="N235" s="5"/>
      <c r="O235" s="5" t="s">
        <v>16</v>
      </c>
      <c r="P235" s="89">
        <f>IFERROR(VLOOKUP(O235,'[1]Campaign Metadata'!A:C,2,FALSE),"")</f>
        <v>45667</v>
      </c>
      <c r="Q235" s="90">
        <f>IFERROR(VLOOKUP(O235,'[1]Campaign Metadata'!A:C,3,FALSE),"")</f>
        <v>45698</v>
      </c>
      <c r="R235" s="94" t="str">
        <f t="shared" si="7"/>
        <v>Before</v>
      </c>
    </row>
    <row r="236" spans="1:18" ht="15.75" customHeight="1" thickTop="1" thickBot="1">
      <c r="A236" s="23" t="s">
        <v>265</v>
      </c>
      <c r="B236" s="11" t="s">
        <v>27</v>
      </c>
      <c r="C236" s="10">
        <v>45542</v>
      </c>
      <c r="D236" s="11" t="s">
        <v>14</v>
      </c>
      <c r="E236" s="9" t="s">
        <v>42</v>
      </c>
      <c r="F236" s="12">
        <v>2101</v>
      </c>
      <c r="G236" s="12">
        <v>411</v>
      </c>
      <c r="H236" s="12">
        <v>190</v>
      </c>
      <c r="I236" s="12">
        <v>41791</v>
      </c>
      <c r="J236" s="4">
        <f t="shared" si="6"/>
        <v>2702</v>
      </c>
      <c r="K236" s="12">
        <v>57090</v>
      </c>
      <c r="L236" s="12">
        <v>172</v>
      </c>
      <c r="M236" s="9" t="s">
        <v>19</v>
      </c>
      <c r="N236" s="9" t="s">
        <v>340</v>
      </c>
      <c r="O236" s="9" t="s">
        <v>20</v>
      </c>
      <c r="P236" s="89">
        <f>IFERROR(VLOOKUP(O236,'[1]Campaign Metadata'!A:C,2,FALSE),"")</f>
        <v>45717</v>
      </c>
      <c r="Q236" s="90">
        <f>IFERROR(VLOOKUP(O236,'[1]Campaign Metadata'!A:C,3,FALSE),"")</f>
        <v>45747</v>
      </c>
      <c r="R236" s="94" t="str">
        <f t="shared" si="7"/>
        <v>Before</v>
      </c>
    </row>
    <row r="237" spans="1:18" ht="15.75" customHeight="1" thickTop="1" thickBot="1">
      <c r="A237" s="22" t="s">
        <v>266</v>
      </c>
      <c r="B237" s="7" t="s">
        <v>13</v>
      </c>
      <c r="C237" s="6">
        <v>45646</v>
      </c>
      <c r="D237" s="7" t="s">
        <v>14</v>
      </c>
      <c r="E237" s="5" t="s">
        <v>15</v>
      </c>
      <c r="F237" s="8">
        <v>2519</v>
      </c>
      <c r="G237" s="8">
        <v>202</v>
      </c>
      <c r="H237" s="8">
        <v>239</v>
      </c>
      <c r="I237" s="8">
        <v>36245</v>
      </c>
      <c r="J237" s="4">
        <f t="shared" si="6"/>
        <v>2960</v>
      </c>
      <c r="K237" s="8">
        <v>48606</v>
      </c>
      <c r="L237" s="8">
        <v>145</v>
      </c>
      <c r="M237" s="5" t="s">
        <v>19</v>
      </c>
      <c r="N237" s="5"/>
      <c r="O237" s="5" t="s">
        <v>20</v>
      </c>
      <c r="P237" s="89">
        <f>IFERROR(VLOOKUP(O237,'[1]Campaign Metadata'!A:C,2,FALSE),"")</f>
        <v>45717</v>
      </c>
      <c r="Q237" s="90">
        <f>IFERROR(VLOOKUP(O237,'[1]Campaign Metadata'!A:C,3,FALSE),"")</f>
        <v>45747</v>
      </c>
      <c r="R237" s="94" t="str">
        <f t="shared" si="7"/>
        <v>Before</v>
      </c>
    </row>
    <row r="238" spans="1:18" ht="15.75" customHeight="1" thickTop="1" thickBot="1">
      <c r="A238" s="23" t="s">
        <v>267</v>
      </c>
      <c r="B238" s="11" t="s">
        <v>27</v>
      </c>
      <c r="C238" s="10">
        <v>45305</v>
      </c>
      <c r="D238" s="11" t="s">
        <v>14</v>
      </c>
      <c r="E238" s="9" t="s">
        <v>346</v>
      </c>
      <c r="F238" s="12">
        <v>4502</v>
      </c>
      <c r="G238" s="12">
        <v>238</v>
      </c>
      <c r="H238" s="12">
        <v>386</v>
      </c>
      <c r="I238" s="12">
        <v>39198</v>
      </c>
      <c r="J238" s="4">
        <f t="shared" si="6"/>
        <v>5126</v>
      </c>
      <c r="K238" s="12">
        <v>25050</v>
      </c>
      <c r="L238" s="12">
        <v>297</v>
      </c>
      <c r="M238" s="9" t="s">
        <v>19</v>
      </c>
      <c r="N238" s="9" t="s">
        <v>340</v>
      </c>
      <c r="O238" s="9" t="s">
        <v>20</v>
      </c>
      <c r="P238" s="89">
        <f>IFERROR(VLOOKUP(O238,'[1]Campaign Metadata'!A:C,2,FALSE),"")</f>
        <v>45717</v>
      </c>
      <c r="Q238" s="90">
        <f>IFERROR(VLOOKUP(O238,'[1]Campaign Metadata'!A:C,3,FALSE),"")</f>
        <v>45747</v>
      </c>
      <c r="R238" s="94" t="str">
        <f t="shared" si="7"/>
        <v>Before</v>
      </c>
    </row>
    <row r="239" spans="1:18" ht="15.75" customHeight="1" thickTop="1" thickBot="1">
      <c r="A239" s="22" t="s">
        <v>268</v>
      </c>
      <c r="B239" s="7" t="s">
        <v>13</v>
      </c>
      <c r="C239" s="6">
        <v>45823</v>
      </c>
      <c r="D239" s="7" t="s">
        <v>14</v>
      </c>
      <c r="E239" s="5" t="s">
        <v>18</v>
      </c>
      <c r="F239" s="8">
        <v>2478</v>
      </c>
      <c r="G239" s="8">
        <v>427</v>
      </c>
      <c r="H239" s="8">
        <v>242</v>
      </c>
      <c r="I239" s="8">
        <v>59272</v>
      </c>
      <c r="J239" s="4">
        <f t="shared" si="6"/>
        <v>3147</v>
      </c>
      <c r="K239" s="8">
        <v>37833</v>
      </c>
      <c r="L239" s="8">
        <v>214</v>
      </c>
      <c r="M239" s="5" t="s">
        <v>37</v>
      </c>
      <c r="N239" s="5" t="s">
        <v>34</v>
      </c>
      <c r="O239" s="5" t="s">
        <v>16</v>
      </c>
      <c r="P239" s="89">
        <f>IFERROR(VLOOKUP(O239,'[1]Campaign Metadata'!A:C,2,FALSE),"")</f>
        <v>45667</v>
      </c>
      <c r="Q239" s="90">
        <f>IFERROR(VLOOKUP(O239,'[1]Campaign Metadata'!A:C,3,FALSE),"")</f>
        <v>45698</v>
      </c>
      <c r="R239" s="94" t="str">
        <f t="shared" si="7"/>
        <v>After</v>
      </c>
    </row>
    <row r="240" spans="1:18" ht="15.75" customHeight="1" thickTop="1" thickBot="1">
      <c r="A240" s="23" t="s">
        <v>269</v>
      </c>
      <c r="B240" s="11" t="s">
        <v>22</v>
      </c>
      <c r="C240" s="10">
        <v>45639</v>
      </c>
      <c r="D240" s="11" t="s">
        <v>23</v>
      </c>
      <c r="E240" s="9" t="s">
        <v>24</v>
      </c>
      <c r="F240" s="12">
        <v>4984</v>
      </c>
      <c r="G240" s="12">
        <v>300</v>
      </c>
      <c r="H240" s="12">
        <v>338</v>
      </c>
      <c r="I240" s="12">
        <v>32900</v>
      </c>
      <c r="J240" s="4">
        <f t="shared" si="6"/>
        <v>5622</v>
      </c>
      <c r="K240" s="12">
        <v>31691</v>
      </c>
      <c r="L240" s="12">
        <v>160</v>
      </c>
      <c r="M240" s="9" t="s">
        <v>341</v>
      </c>
      <c r="N240" s="9" t="s">
        <v>34</v>
      </c>
      <c r="O240" s="9" t="s">
        <v>16</v>
      </c>
      <c r="P240" s="89">
        <f>IFERROR(VLOOKUP(O240,'[1]Campaign Metadata'!A:C,2,FALSE),"")</f>
        <v>45667</v>
      </c>
      <c r="Q240" s="90">
        <f>IFERROR(VLOOKUP(O240,'[1]Campaign Metadata'!A:C,3,FALSE),"")</f>
        <v>45698</v>
      </c>
      <c r="R240" s="94" t="str">
        <f t="shared" si="7"/>
        <v>Before</v>
      </c>
    </row>
    <row r="241" spans="1:18" ht="15.75" customHeight="1" thickTop="1" thickBot="1">
      <c r="A241" s="22" t="s">
        <v>270</v>
      </c>
      <c r="B241" s="7" t="s">
        <v>27</v>
      </c>
      <c r="C241" s="6">
        <v>45533</v>
      </c>
      <c r="D241" s="7" t="s">
        <v>14</v>
      </c>
      <c r="E241" s="5" t="s">
        <v>344</v>
      </c>
      <c r="F241" s="8">
        <v>4774</v>
      </c>
      <c r="G241" s="8">
        <v>389</v>
      </c>
      <c r="H241" s="8">
        <v>358</v>
      </c>
      <c r="I241" s="8">
        <v>52346</v>
      </c>
      <c r="J241" s="4">
        <f t="shared" si="6"/>
        <v>5521</v>
      </c>
      <c r="K241" s="8">
        <v>30518</v>
      </c>
      <c r="L241" s="8">
        <v>277</v>
      </c>
      <c r="M241" s="5" t="s">
        <v>19</v>
      </c>
      <c r="N241" s="5" t="s">
        <v>340</v>
      </c>
      <c r="O241" s="5" t="s">
        <v>20</v>
      </c>
      <c r="P241" s="89">
        <f>IFERROR(VLOOKUP(O241,'[1]Campaign Metadata'!A:C,2,FALSE),"")</f>
        <v>45717</v>
      </c>
      <c r="Q241" s="90">
        <f>IFERROR(VLOOKUP(O241,'[1]Campaign Metadata'!A:C,3,FALSE),"")</f>
        <v>45747</v>
      </c>
      <c r="R241" s="94" t="str">
        <f t="shared" si="7"/>
        <v>Before</v>
      </c>
    </row>
    <row r="242" spans="1:18" ht="15.75" customHeight="1" thickTop="1" thickBot="1">
      <c r="A242" s="23" t="s">
        <v>271</v>
      </c>
      <c r="B242" s="11" t="s">
        <v>22</v>
      </c>
      <c r="C242" s="10">
        <v>45550</v>
      </c>
      <c r="D242" s="11" t="s">
        <v>14</v>
      </c>
      <c r="E242" s="9" t="s">
        <v>30</v>
      </c>
      <c r="F242" s="12">
        <v>2145</v>
      </c>
      <c r="G242" s="12">
        <v>340</v>
      </c>
      <c r="H242" s="12">
        <v>85</v>
      </c>
      <c r="I242" s="12">
        <v>53323</v>
      </c>
      <c r="J242" s="4">
        <f t="shared" si="6"/>
        <v>2570</v>
      </c>
      <c r="K242" s="12">
        <v>49938</v>
      </c>
      <c r="L242" s="12">
        <v>104</v>
      </c>
      <c r="M242" s="9" t="s">
        <v>34</v>
      </c>
      <c r="N242" s="9"/>
      <c r="O242" s="9" t="s">
        <v>16</v>
      </c>
      <c r="P242" s="89">
        <f>IFERROR(VLOOKUP(O242,'[1]Campaign Metadata'!A:C,2,FALSE),"")</f>
        <v>45667</v>
      </c>
      <c r="Q242" s="90">
        <f>IFERROR(VLOOKUP(O242,'[1]Campaign Metadata'!A:C,3,FALSE),"")</f>
        <v>45698</v>
      </c>
      <c r="R242" s="94" t="str">
        <f t="shared" si="7"/>
        <v>Before</v>
      </c>
    </row>
    <row r="243" spans="1:18" ht="15.75" customHeight="1" thickTop="1" thickBot="1">
      <c r="A243" s="22" t="s">
        <v>272</v>
      </c>
      <c r="B243" s="7" t="s">
        <v>22</v>
      </c>
      <c r="C243" s="6">
        <v>45759</v>
      </c>
      <c r="D243" s="7" t="s">
        <v>23</v>
      </c>
      <c r="E243" s="5" t="s">
        <v>347</v>
      </c>
      <c r="F243" s="8">
        <v>4315</v>
      </c>
      <c r="G243" s="8">
        <v>208</v>
      </c>
      <c r="H243" s="8">
        <v>273</v>
      </c>
      <c r="I243" s="8">
        <v>35780</v>
      </c>
      <c r="J243" s="4">
        <f t="shared" si="6"/>
        <v>4796</v>
      </c>
      <c r="K243" s="8">
        <v>44349</v>
      </c>
      <c r="L243" s="8">
        <v>133</v>
      </c>
      <c r="M243" s="5" t="s">
        <v>19</v>
      </c>
      <c r="N243" s="5" t="s">
        <v>341</v>
      </c>
      <c r="O243" s="5" t="s">
        <v>16</v>
      </c>
      <c r="P243" s="89">
        <f>IFERROR(VLOOKUP(O243,'[1]Campaign Metadata'!A:C,2,FALSE),"")</f>
        <v>45667</v>
      </c>
      <c r="Q243" s="90">
        <f>IFERROR(VLOOKUP(O243,'[1]Campaign Metadata'!A:C,3,FALSE),"")</f>
        <v>45698</v>
      </c>
      <c r="R243" s="94" t="str">
        <f t="shared" si="7"/>
        <v>After</v>
      </c>
    </row>
    <row r="244" spans="1:18" ht="15.75" customHeight="1" thickTop="1" thickBot="1">
      <c r="A244" s="23" t="s">
        <v>273</v>
      </c>
      <c r="B244" s="11" t="s">
        <v>22</v>
      </c>
      <c r="C244" s="10">
        <v>45636</v>
      </c>
      <c r="D244" s="11" t="s">
        <v>23</v>
      </c>
      <c r="E244" s="9" t="s">
        <v>344</v>
      </c>
      <c r="F244" s="12">
        <v>2267</v>
      </c>
      <c r="G244" s="12">
        <v>230</v>
      </c>
      <c r="H244" s="12">
        <v>243</v>
      </c>
      <c r="I244" s="12">
        <v>27904</v>
      </c>
      <c r="J244" s="4">
        <f t="shared" si="6"/>
        <v>2740</v>
      </c>
      <c r="K244" s="12">
        <v>69771</v>
      </c>
      <c r="L244" s="12">
        <v>255</v>
      </c>
      <c r="M244" s="9" t="s">
        <v>19</v>
      </c>
      <c r="N244" s="9" t="s">
        <v>341</v>
      </c>
      <c r="O244" s="9" t="s">
        <v>16</v>
      </c>
      <c r="P244" s="89">
        <f>IFERROR(VLOOKUP(O244,'[1]Campaign Metadata'!A:C,2,FALSE),"")</f>
        <v>45667</v>
      </c>
      <c r="Q244" s="90">
        <f>IFERROR(VLOOKUP(O244,'[1]Campaign Metadata'!A:C,3,FALSE),"")</f>
        <v>45698</v>
      </c>
      <c r="R244" s="94" t="str">
        <f t="shared" si="7"/>
        <v>Before</v>
      </c>
    </row>
    <row r="245" spans="1:18" ht="15.75" customHeight="1" thickTop="1" thickBot="1">
      <c r="A245" s="22" t="s">
        <v>274</v>
      </c>
      <c r="B245" s="7" t="s">
        <v>27</v>
      </c>
      <c r="C245" s="6">
        <v>45816</v>
      </c>
      <c r="D245" s="7" t="s">
        <v>14</v>
      </c>
      <c r="E245" s="5" t="s">
        <v>345</v>
      </c>
      <c r="F245" s="8">
        <v>4375</v>
      </c>
      <c r="G245" s="8">
        <v>303</v>
      </c>
      <c r="H245" s="8">
        <v>294</v>
      </c>
      <c r="I245" s="8">
        <v>57468</v>
      </c>
      <c r="J245" s="4">
        <f t="shared" si="6"/>
        <v>4972</v>
      </c>
      <c r="K245" s="8">
        <v>53397</v>
      </c>
      <c r="L245" s="8">
        <v>159</v>
      </c>
      <c r="M245" s="5" t="s">
        <v>19</v>
      </c>
      <c r="N245" s="5" t="s">
        <v>340</v>
      </c>
      <c r="O245" s="5" t="s">
        <v>20</v>
      </c>
      <c r="P245" s="89">
        <f>IFERROR(VLOOKUP(O245,'[1]Campaign Metadata'!A:C,2,FALSE),"")</f>
        <v>45717</v>
      </c>
      <c r="Q245" s="90">
        <f>IFERROR(VLOOKUP(O245,'[1]Campaign Metadata'!A:C,3,FALSE),"")</f>
        <v>45747</v>
      </c>
      <c r="R245" s="94" t="str">
        <f t="shared" si="7"/>
        <v>After</v>
      </c>
    </row>
    <row r="246" spans="1:18" ht="15.75" customHeight="1" thickTop="1" thickBot="1">
      <c r="A246" s="23" t="s">
        <v>275</v>
      </c>
      <c r="B246" s="11" t="s">
        <v>22</v>
      </c>
      <c r="C246" s="10">
        <v>45666</v>
      </c>
      <c r="D246" s="11" t="s">
        <v>23</v>
      </c>
      <c r="E246" s="9" t="s">
        <v>42</v>
      </c>
      <c r="F246" s="12">
        <v>3817</v>
      </c>
      <c r="G246" s="12">
        <v>284</v>
      </c>
      <c r="H246" s="12">
        <v>204</v>
      </c>
      <c r="I246" s="12">
        <v>46434</v>
      </c>
      <c r="J246" s="4">
        <f t="shared" si="6"/>
        <v>4305</v>
      </c>
      <c r="K246" s="12">
        <v>53396</v>
      </c>
      <c r="L246" s="12">
        <v>104</v>
      </c>
      <c r="M246" s="9" t="s">
        <v>341</v>
      </c>
      <c r="N246" s="9" t="s">
        <v>34</v>
      </c>
      <c r="O246" s="9" t="s">
        <v>16</v>
      </c>
      <c r="P246" s="89">
        <f>IFERROR(VLOOKUP(O246,'[1]Campaign Metadata'!A:C,2,FALSE),"")</f>
        <v>45667</v>
      </c>
      <c r="Q246" s="90">
        <f>IFERROR(VLOOKUP(O246,'[1]Campaign Metadata'!A:C,3,FALSE),"")</f>
        <v>45698</v>
      </c>
      <c r="R246" s="94" t="str">
        <f t="shared" si="7"/>
        <v>Before</v>
      </c>
    </row>
    <row r="247" spans="1:18" ht="15.75" customHeight="1" thickTop="1" thickBot="1">
      <c r="A247" s="22" t="s">
        <v>276</v>
      </c>
      <c r="B247" s="7" t="s">
        <v>22</v>
      </c>
      <c r="C247" s="6">
        <v>45481</v>
      </c>
      <c r="D247" s="7" t="s">
        <v>23</v>
      </c>
      <c r="E247" s="5" t="s">
        <v>33</v>
      </c>
      <c r="F247" s="8">
        <v>2981</v>
      </c>
      <c r="G247" s="8">
        <v>258</v>
      </c>
      <c r="H247" s="8">
        <v>168</v>
      </c>
      <c r="I247" s="8">
        <v>20677</v>
      </c>
      <c r="J247" s="4">
        <f t="shared" si="6"/>
        <v>3407</v>
      </c>
      <c r="K247" s="8">
        <v>68290</v>
      </c>
      <c r="L247" s="8">
        <v>130</v>
      </c>
      <c r="M247" s="5" t="s">
        <v>37</v>
      </c>
      <c r="N247" s="5" t="s">
        <v>34</v>
      </c>
      <c r="O247" s="5" t="s">
        <v>16</v>
      </c>
      <c r="P247" s="89">
        <f>IFERROR(VLOOKUP(O247,'[1]Campaign Metadata'!A:C,2,FALSE),"")</f>
        <v>45667</v>
      </c>
      <c r="Q247" s="90">
        <f>IFERROR(VLOOKUP(O247,'[1]Campaign Metadata'!A:C,3,FALSE),"")</f>
        <v>45698</v>
      </c>
      <c r="R247" s="94" t="str">
        <f t="shared" si="7"/>
        <v>Before</v>
      </c>
    </row>
    <row r="248" spans="1:18" ht="15.75" customHeight="1" thickTop="1" thickBot="1">
      <c r="A248" s="23" t="s">
        <v>277</v>
      </c>
      <c r="B248" s="11" t="s">
        <v>22</v>
      </c>
      <c r="C248" s="10">
        <v>45551</v>
      </c>
      <c r="D248" s="11" t="s">
        <v>23</v>
      </c>
      <c r="E248" s="9" t="s">
        <v>42</v>
      </c>
      <c r="F248" s="12">
        <v>3300</v>
      </c>
      <c r="G248" s="12">
        <v>354</v>
      </c>
      <c r="H248" s="12">
        <v>397</v>
      </c>
      <c r="I248" s="12">
        <v>56773</v>
      </c>
      <c r="J248" s="4">
        <f t="shared" si="6"/>
        <v>4051</v>
      </c>
      <c r="K248" s="12">
        <v>72110</v>
      </c>
      <c r="L248" s="12">
        <v>163</v>
      </c>
      <c r="M248" s="9" t="s">
        <v>19</v>
      </c>
      <c r="N248" s="9" t="s">
        <v>341</v>
      </c>
      <c r="O248" s="9" t="s">
        <v>16</v>
      </c>
      <c r="P248" s="89">
        <f>IFERROR(VLOOKUP(O248,'[1]Campaign Metadata'!A:C,2,FALSE),"")</f>
        <v>45667</v>
      </c>
      <c r="Q248" s="90">
        <f>IFERROR(VLOOKUP(O248,'[1]Campaign Metadata'!A:C,3,FALSE),"")</f>
        <v>45698</v>
      </c>
      <c r="R248" s="94" t="str">
        <f t="shared" si="7"/>
        <v>Before</v>
      </c>
    </row>
    <row r="249" spans="1:18" ht="15.75" customHeight="1" thickTop="1" thickBot="1">
      <c r="A249" s="22" t="s">
        <v>278</v>
      </c>
      <c r="B249" s="7" t="s">
        <v>27</v>
      </c>
      <c r="C249" s="6">
        <v>45457</v>
      </c>
      <c r="D249" s="7" t="s">
        <v>48</v>
      </c>
      <c r="E249" s="5" t="s">
        <v>344</v>
      </c>
      <c r="F249" s="8">
        <v>4722</v>
      </c>
      <c r="G249" s="8">
        <v>310</v>
      </c>
      <c r="H249" s="8">
        <v>344</v>
      </c>
      <c r="I249" s="8">
        <v>27911</v>
      </c>
      <c r="J249" s="4">
        <f t="shared" si="6"/>
        <v>5376</v>
      </c>
      <c r="K249" s="8">
        <v>19000</v>
      </c>
      <c r="L249" s="8">
        <v>225</v>
      </c>
      <c r="M249" s="5" t="s">
        <v>19</v>
      </c>
      <c r="N249" s="5" t="s">
        <v>37</v>
      </c>
      <c r="O249" s="5" t="s">
        <v>49</v>
      </c>
      <c r="P249" s="89">
        <f>IFERROR(VLOOKUP(O249,'[1]Campaign Metadata'!A:C,2,FALSE),"")</f>
        <v>45458</v>
      </c>
      <c r="Q249" s="90">
        <f>IFERROR(VLOOKUP(O249,'[1]Campaign Metadata'!A:C,3,FALSE),"")</f>
        <v>45488</v>
      </c>
      <c r="R249" s="94" t="str">
        <f t="shared" si="7"/>
        <v>Before</v>
      </c>
    </row>
    <row r="250" spans="1:18" ht="15.75" customHeight="1" thickTop="1" thickBot="1">
      <c r="A250" s="23" t="s">
        <v>279</v>
      </c>
      <c r="B250" s="11" t="s">
        <v>13</v>
      </c>
      <c r="C250" s="10">
        <v>45357</v>
      </c>
      <c r="D250" s="11" t="s">
        <v>14</v>
      </c>
      <c r="E250" s="9" t="s">
        <v>346</v>
      </c>
      <c r="F250" s="12">
        <v>3529</v>
      </c>
      <c r="G250" s="12">
        <v>263</v>
      </c>
      <c r="H250" s="12">
        <v>107</v>
      </c>
      <c r="I250" s="12">
        <v>26570</v>
      </c>
      <c r="J250" s="4">
        <f t="shared" si="6"/>
        <v>3899</v>
      </c>
      <c r="K250" s="12">
        <v>19367</v>
      </c>
      <c r="L250" s="12">
        <v>96</v>
      </c>
      <c r="M250" s="9" t="s">
        <v>19</v>
      </c>
      <c r="N250" s="9"/>
      <c r="O250" s="9" t="s">
        <v>20</v>
      </c>
      <c r="P250" s="89">
        <f>IFERROR(VLOOKUP(O250,'[1]Campaign Metadata'!A:C,2,FALSE),"")</f>
        <v>45717</v>
      </c>
      <c r="Q250" s="90">
        <f>IFERROR(VLOOKUP(O250,'[1]Campaign Metadata'!A:C,3,FALSE),"")</f>
        <v>45747</v>
      </c>
      <c r="R250" s="94" t="str">
        <f t="shared" si="7"/>
        <v>Before</v>
      </c>
    </row>
    <row r="251" spans="1:18" ht="15.75" customHeight="1" thickTop="1" thickBot="1">
      <c r="A251" s="22" t="s">
        <v>280</v>
      </c>
      <c r="B251" s="7" t="s">
        <v>22</v>
      </c>
      <c r="C251" s="6">
        <v>45792</v>
      </c>
      <c r="D251" s="7" t="s">
        <v>14</v>
      </c>
      <c r="E251" s="5" t="s">
        <v>42</v>
      </c>
      <c r="F251" s="8">
        <v>4782</v>
      </c>
      <c r="G251" s="8">
        <v>210</v>
      </c>
      <c r="H251" s="8">
        <v>311</v>
      </c>
      <c r="I251" s="8">
        <v>29793</v>
      </c>
      <c r="J251" s="4">
        <f t="shared" si="6"/>
        <v>5303</v>
      </c>
      <c r="K251" s="8">
        <v>37543</v>
      </c>
      <c r="L251" s="8">
        <v>145</v>
      </c>
      <c r="M251" s="5" t="s">
        <v>34</v>
      </c>
      <c r="N251" s="5"/>
      <c r="O251" s="5" t="s">
        <v>16</v>
      </c>
      <c r="P251" s="89">
        <f>IFERROR(VLOOKUP(O251,'[1]Campaign Metadata'!A:C,2,FALSE),"")</f>
        <v>45667</v>
      </c>
      <c r="Q251" s="90">
        <f>IFERROR(VLOOKUP(O251,'[1]Campaign Metadata'!A:C,3,FALSE),"")</f>
        <v>45698</v>
      </c>
      <c r="R251" s="94" t="str">
        <f t="shared" si="7"/>
        <v>After</v>
      </c>
    </row>
    <row r="252" spans="1:18" ht="15.75" customHeight="1" thickTop="1" thickBot="1">
      <c r="A252" s="23" t="s">
        <v>281</v>
      </c>
      <c r="B252" s="11" t="s">
        <v>22</v>
      </c>
      <c r="C252" s="10">
        <v>45480</v>
      </c>
      <c r="D252" s="11" t="s">
        <v>14</v>
      </c>
      <c r="E252" s="9" t="s">
        <v>346</v>
      </c>
      <c r="F252" s="12">
        <v>1848</v>
      </c>
      <c r="G252" s="12">
        <v>417</v>
      </c>
      <c r="H252" s="12">
        <v>294</v>
      </c>
      <c r="I252" s="12">
        <v>57819</v>
      </c>
      <c r="J252" s="4">
        <f t="shared" si="6"/>
        <v>2559</v>
      </c>
      <c r="K252" s="12">
        <v>19798</v>
      </c>
      <c r="L252" s="12">
        <v>262</v>
      </c>
      <c r="M252" s="9" t="s">
        <v>37</v>
      </c>
      <c r="N252" s="9"/>
      <c r="O252" s="9" t="s">
        <v>20</v>
      </c>
      <c r="P252" s="89">
        <f>IFERROR(VLOOKUP(O252,'[1]Campaign Metadata'!A:C,2,FALSE),"")</f>
        <v>45717</v>
      </c>
      <c r="Q252" s="90">
        <f>IFERROR(VLOOKUP(O252,'[1]Campaign Metadata'!A:C,3,FALSE),"")</f>
        <v>45747</v>
      </c>
      <c r="R252" s="94" t="str">
        <f t="shared" si="7"/>
        <v>Before</v>
      </c>
    </row>
    <row r="253" spans="1:18" ht="15.75" customHeight="1" thickTop="1" thickBot="1">
      <c r="A253" s="22" t="s">
        <v>282</v>
      </c>
      <c r="B253" s="7" t="s">
        <v>27</v>
      </c>
      <c r="C253" s="6">
        <v>45591</v>
      </c>
      <c r="D253" s="7" t="s">
        <v>14</v>
      </c>
      <c r="E253" s="5" t="s">
        <v>24</v>
      </c>
      <c r="F253" s="8">
        <v>4676</v>
      </c>
      <c r="G253" s="8">
        <v>211</v>
      </c>
      <c r="H253" s="8">
        <v>55</v>
      </c>
      <c r="I253" s="8">
        <v>45917</v>
      </c>
      <c r="J253" s="4">
        <f t="shared" si="6"/>
        <v>4942</v>
      </c>
      <c r="K253" s="8">
        <v>73503</v>
      </c>
      <c r="L253" s="8">
        <v>248</v>
      </c>
      <c r="M253" s="5" t="s">
        <v>19</v>
      </c>
      <c r="N253" s="5" t="s">
        <v>340</v>
      </c>
      <c r="O253" s="5" t="s">
        <v>20</v>
      </c>
      <c r="P253" s="89">
        <f>IFERROR(VLOOKUP(O253,'[1]Campaign Metadata'!A:C,2,FALSE),"")</f>
        <v>45717</v>
      </c>
      <c r="Q253" s="90">
        <f>IFERROR(VLOOKUP(O253,'[1]Campaign Metadata'!A:C,3,FALSE),"")</f>
        <v>45747</v>
      </c>
      <c r="R253" s="94" t="str">
        <f t="shared" si="7"/>
        <v>Before</v>
      </c>
    </row>
    <row r="254" spans="1:18" ht="15.75" customHeight="1" thickTop="1" thickBot="1">
      <c r="A254" s="23" t="s">
        <v>283</v>
      </c>
      <c r="B254" s="11" t="s">
        <v>27</v>
      </c>
      <c r="C254" s="10">
        <v>45512</v>
      </c>
      <c r="D254" s="11" t="s">
        <v>14</v>
      </c>
      <c r="E254" s="9" t="s">
        <v>347</v>
      </c>
      <c r="F254" s="12">
        <v>1994</v>
      </c>
      <c r="G254" s="12">
        <v>197</v>
      </c>
      <c r="H254" s="12">
        <v>290</v>
      </c>
      <c r="I254" s="12">
        <v>49500</v>
      </c>
      <c r="J254" s="4">
        <f t="shared" si="6"/>
        <v>2481</v>
      </c>
      <c r="K254" s="12">
        <v>23343</v>
      </c>
      <c r="L254" s="12">
        <v>160</v>
      </c>
      <c r="M254" s="9" t="s">
        <v>19</v>
      </c>
      <c r="N254" s="9" t="s">
        <v>340</v>
      </c>
      <c r="O254" s="9" t="s">
        <v>20</v>
      </c>
      <c r="P254" s="89">
        <f>IFERROR(VLOOKUP(O254,'[1]Campaign Metadata'!A:C,2,FALSE),"")</f>
        <v>45717</v>
      </c>
      <c r="Q254" s="90">
        <f>IFERROR(VLOOKUP(O254,'[1]Campaign Metadata'!A:C,3,FALSE),"")</f>
        <v>45747</v>
      </c>
      <c r="R254" s="94" t="str">
        <f t="shared" si="7"/>
        <v>Before</v>
      </c>
    </row>
    <row r="255" spans="1:18" ht="15.75" customHeight="1" thickTop="1" thickBot="1">
      <c r="A255" s="22" t="s">
        <v>284</v>
      </c>
      <c r="B255" s="7" t="s">
        <v>22</v>
      </c>
      <c r="C255" s="6">
        <v>45691</v>
      </c>
      <c r="D255" s="7" t="s">
        <v>14</v>
      </c>
      <c r="E255" s="5" t="s">
        <v>346</v>
      </c>
      <c r="F255" s="8">
        <v>4995</v>
      </c>
      <c r="G255" s="8">
        <v>231</v>
      </c>
      <c r="H255" s="8">
        <v>94</v>
      </c>
      <c r="I255" s="8">
        <v>34431</v>
      </c>
      <c r="J255" s="4">
        <f t="shared" si="6"/>
        <v>5320</v>
      </c>
      <c r="K255" s="8">
        <v>32560</v>
      </c>
      <c r="L255" s="8">
        <v>262</v>
      </c>
      <c r="M255" s="5" t="s">
        <v>34</v>
      </c>
      <c r="N255" s="5"/>
      <c r="O255" s="5" t="s">
        <v>16</v>
      </c>
      <c r="P255" s="89">
        <f>IFERROR(VLOOKUP(O255,'[1]Campaign Metadata'!A:C,2,FALSE),"")</f>
        <v>45667</v>
      </c>
      <c r="Q255" s="90">
        <f>IFERROR(VLOOKUP(O255,'[1]Campaign Metadata'!A:C,3,FALSE),"")</f>
        <v>45698</v>
      </c>
      <c r="R255" s="94" t="str">
        <f t="shared" si="7"/>
        <v>During</v>
      </c>
    </row>
    <row r="256" spans="1:18" ht="15.75" customHeight="1" thickTop="1" thickBot="1">
      <c r="A256" s="23" t="s">
        <v>285</v>
      </c>
      <c r="B256" s="11" t="s">
        <v>22</v>
      </c>
      <c r="C256" s="10">
        <v>45385</v>
      </c>
      <c r="D256" s="11" t="s">
        <v>23</v>
      </c>
      <c r="E256" s="9" t="s">
        <v>33</v>
      </c>
      <c r="F256" s="12">
        <v>2291</v>
      </c>
      <c r="G256" s="12">
        <v>146</v>
      </c>
      <c r="H256" s="12">
        <v>399</v>
      </c>
      <c r="I256" s="12">
        <v>49319</v>
      </c>
      <c r="J256" s="4">
        <f t="shared" si="6"/>
        <v>2836</v>
      </c>
      <c r="K256" s="12">
        <v>28056</v>
      </c>
      <c r="L256" s="12">
        <v>90</v>
      </c>
      <c r="M256" s="9" t="s">
        <v>19</v>
      </c>
      <c r="N256" s="9" t="s">
        <v>341</v>
      </c>
      <c r="O256" s="9" t="s">
        <v>16</v>
      </c>
      <c r="P256" s="89">
        <f>IFERROR(VLOOKUP(O256,'[1]Campaign Metadata'!A:C,2,FALSE),"")</f>
        <v>45667</v>
      </c>
      <c r="Q256" s="90">
        <f>IFERROR(VLOOKUP(O256,'[1]Campaign Metadata'!A:C,3,FALSE),"")</f>
        <v>45698</v>
      </c>
      <c r="R256" s="94" t="str">
        <f t="shared" si="7"/>
        <v>Before</v>
      </c>
    </row>
    <row r="257" spans="1:18" ht="15.75" customHeight="1" thickTop="1" thickBot="1">
      <c r="A257" s="22" t="s">
        <v>286</v>
      </c>
      <c r="B257" s="7" t="s">
        <v>22</v>
      </c>
      <c r="C257" s="6">
        <v>45481</v>
      </c>
      <c r="D257" s="7" t="s">
        <v>23</v>
      </c>
      <c r="E257" s="5" t="s">
        <v>344</v>
      </c>
      <c r="F257" s="8">
        <v>2304</v>
      </c>
      <c r="G257" s="8">
        <v>289</v>
      </c>
      <c r="H257" s="8">
        <v>161</v>
      </c>
      <c r="I257" s="8">
        <v>52645</v>
      </c>
      <c r="J257" s="4">
        <f t="shared" si="6"/>
        <v>2754</v>
      </c>
      <c r="K257" s="8">
        <v>66262</v>
      </c>
      <c r="L257" s="8">
        <v>146</v>
      </c>
      <c r="M257" s="5" t="s">
        <v>341</v>
      </c>
      <c r="N257" s="5" t="s">
        <v>34</v>
      </c>
      <c r="O257" s="5" t="s">
        <v>16</v>
      </c>
      <c r="P257" s="89">
        <f>IFERROR(VLOOKUP(O257,'[1]Campaign Metadata'!A:C,2,FALSE),"")</f>
        <v>45667</v>
      </c>
      <c r="Q257" s="90">
        <f>IFERROR(VLOOKUP(O257,'[1]Campaign Metadata'!A:C,3,FALSE),"")</f>
        <v>45698</v>
      </c>
      <c r="R257" s="94" t="str">
        <f t="shared" si="7"/>
        <v>Before</v>
      </c>
    </row>
    <row r="258" spans="1:18" ht="15.75" customHeight="1" thickTop="1" thickBot="1">
      <c r="A258" s="23" t="s">
        <v>287</v>
      </c>
      <c r="B258" s="11" t="s">
        <v>22</v>
      </c>
      <c r="C258" s="10">
        <v>45451</v>
      </c>
      <c r="D258" s="11" t="s">
        <v>23</v>
      </c>
      <c r="E258" s="9" t="s">
        <v>33</v>
      </c>
      <c r="F258" s="12">
        <v>3413</v>
      </c>
      <c r="G258" s="12">
        <v>326</v>
      </c>
      <c r="H258" s="12">
        <v>86</v>
      </c>
      <c r="I258" s="12">
        <v>44680</v>
      </c>
      <c r="J258" s="4">
        <f t="shared" si="6"/>
        <v>3825</v>
      </c>
      <c r="K258" s="12">
        <v>52719</v>
      </c>
      <c r="L258" s="12">
        <v>272</v>
      </c>
      <c r="M258" s="9" t="s">
        <v>19</v>
      </c>
      <c r="N258" s="9" t="s">
        <v>341</v>
      </c>
      <c r="O258" s="9" t="s">
        <v>16</v>
      </c>
      <c r="P258" s="89">
        <f>IFERROR(VLOOKUP(O258,'[1]Campaign Metadata'!A:C,2,FALSE),"")</f>
        <v>45667</v>
      </c>
      <c r="Q258" s="90">
        <f>IFERROR(VLOOKUP(O258,'[1]Campaign Metadata'!A:C,3,FALSE),"")</f>
        <v>45698</v>
      </c>
      <c r="R258" s="94" t="str">
        <f t="shared" si="7"/>
        <v>Before</v>
      </c>
    </row>
    <row r="259" spans="1:18" ht="15.75" customHeight="1" thickTop="1" thickBot="1">
      <c r="A259" s="22" t="s">
        <v>288</v>
      </c>
      <c r="B259" s="7" t="s">
        <v>27</v>
      </c>
      <c r="C259" s="6">
        <v>45736</v>
      </c>
      <c r="D259" s="7" t="s">
        <v>48</v>
      </c>
      <c r="E259" s="5" t="s">
        <v>347</v>
      </c>
      <c r="F259" s="8">
        <v>1453</v>
      </c>
      <c r="G259" s="8">
        <v>156</v>
      </c>
      <c r="H259" s="8">
        <v>178</v>
      </c>
      <c r="I259" s="8">
        <v>52980</v>
      </c>
      <c r="J259" s="4">
        <f t="shared" ref="J259:J301" si="8">(F259+G259+H259)</f>
        <v>1787</v>
      </c>
      <c r="K259" s="8">
        <v>57180</v>
      </c>
      <c r="L259" s="8">
        <v>286</v>
      </c>
      <c r="M259" s="5" t="s">
        <v>19</v>
      </c>
      <c r="N259" s="5" t="s">
        <v>37</v>
      </c>
      <c r="O259" s="5" t="s">
        <v>49</v>
      </c>
      <c r="P259" s="89">
        <f>IFERROR(VLOOKUP(O259,'[1]Campaign Metadata'!A:C,2,FALSE),"")</f>
        <v>45458</v>
      </c>
      <c r="Q259" s="90">
        <f>IFERROR(VLOOKUP(O259,'[1]Campaign Metadata'!A:C,3,FALSE),"")</f>
        <v>45488</v>
      </c>
      <c r="R259" s="94" t="str">
        <f t="shared" ref="R259:R301" si="9">IF(AND(C259&lt;=Q259,C259&gt;=P259),"During",IF(C259&gt;Q259,"After","Before"))</f>
        <v>After</v>
      </c>
    </row>
    <row r="260" spans="1:18" ht="15.75" customHeight="1" thickTop="1" thickBot="1">
      <c r="A260" s="23" t="s">
        <v>289</v>
      </c>
      <c r="B260" s="11" t="s">
        <v>22</v>
      </c>
      <c r="C260" s="10">
        <v>45676</v>
      </c>
      <c r="D260" s="11" t="s">
        <v>23</v>
      </c>
      <c r="E260" s="9" t="s">
        <v>345</v>
      </c>
      <c r="F260" s="12">
        <v>1651</v>
      </c>
      <c r="G260" s="12">
        <v>480</v>
      </c>
      <c r="H260" s="12">
        <v>282</v>
      </c>
      <c r="I260" s="12">
        <v>32140</v>
      </c>
      <c r="J260" s="4">
        <f t="shared" si="8"/>
        <v>2413</v>
      </c>
      <c r="K260" s="12">
        <v>70560</v>
      </c>
      <c r="L260" s="12">
        <v>138</v>
      </c>
      <c r="M260" s="9" t="s">
        <v>37</v>
      </c>
      <c r="N260" s="9" t="s">
        <v>34</v>
      </c>
      <c r="O260" s="9" t="s">
        <v>16</v>
      </c>
      <c r="P260" s="89">
        <f>IFERROR(VLOOKUP(O260,'[1]Campaign Metadata'!A:C,2,FALSE),"")</f>
        <v>45667</v>
      </c>
      <c r="Q260" s="90">
        <f>IFERROR(VLOOKUP(O260,'[1]Campaign Metadata'!A:C,3,FALSE),"")</f>
        <v>45698</v>
      </c>
      <c r="R260" s="94" t="str">
        <f t="shared" si="9"/>
        <v>During</v>
      </c>
    </row>
    <row r="261" spans="1:18" ht="15.75" customHeight="1" thickTop="1" thickBot="1">
      <c r="A261" s="22" t="s">
        <v>290</v>
      </c>
      <c r="B261" s="7" t="s">
        <v>22</v>
      </c>
      <c r="C261" s="6">
        <v>45662</v>
      </c>
      <c r="D261" s="7" t="s">
        <v>23</v>
      </c>
      <c r="E261" s="5" t="s">
        <v>18</v>
      </c>
      <c r="F261" s="8">
        <v>3341</v>
      </c>
      <c r="G261" s="8">
        <v>154</v>
      </c>
      <c r="H261" s="8">
        <v>123</v>
      </c>
      <c r="I261" s="8">
        <v>43369</v>
      </c>
      <c r="J261" s="4">
        <f t="shared" si="8"/>
        <v>3618</v>
      </c>
      <c r="K261" s="8">
        <v>49035</v>
      </c>
      <c r="L261" s="8">
        <v>128</v>
      </c>
      <c r="M261" s="5" t="s">
        <v>341</v>
      </c>
      <c r="N261" s="5" t="s">
        <v>34</v>
      </c>
      <c r="O261" s="5" t="s">
        <v>16</v>
      </c>
      <c r="P261" s="89">
        <f>IFERROR(VLOOKUP(O261,'[1]Campaign Metadata'!A:C,2,FALSE),"")</f>
        <v>45667</v>
      </c>
      <c r="Q261" s="90">
        <f>IFERROR(VLOOKUP(O261,'[1]Campaign Metadata'!A:C,3,FALSE),"")</f>
        <v>45698</v>
      </c>
      <c r="R261" s="94" t="str">
        <f t="shared" si="9"/>
        <v>Before</v>
      </c>
    </row>
    <row r="262" spans="1:18" ht="15.75" customHeight="1" thickTop="1" thickBot="1">
      <c r="A262" s="23" t="s">
        <v>291</v>
      </c>
      <c r="B262" s="11" t="s">
        <v>22</v>
      </c>
      <c r="C262" s="10">
        <v>45612</v>
      </c>
      <c r="D262" s="11" t="s">
        <v>14</v>
      </c>
      <c r="E262" s="9" t="s">
        <v>347</v>
      </c>
      <c r="F262" s="12">
        <v>2972</v>
      </c>
      <c r="G262" s="12">
        <v>263</v>
      </c>
      <c r="H262" s="12">
        <v>308</v>
      </c>
      <c r="I262" s="12">
        <v>51740</v>
      </c>
      <c r="J262" s="4">
        <f t="shared" si="8"/>
        <v>3543</v>
      </c>
      <c r="K262" s="12">
        <v>28214</v>
      </c>
      <c r="L262" s="12">
        <v>190</v>
      </c>
      <c r="M262" s="9" t="s">
        <v>37</v>
      </c>
      <c r="N262" s="9"/>
      <c r="O262" s="9" t="s">
        <v>20</v>
      </c>
      <c r="P262" s="89">
        <f>IFERROR(VLOOKUP(O262,'[1]Campaign Metadata'!A:C,2,FALSE),"")</f>
        <v>45717</v>
      </c>
      <c r="Q262" s="90">
        <f>IFERROR(VLOOKUP(O262,'[1]Campaign Metadata'!A:C,3,FALSE),"")</f>
        <v>45747</v>
      </c>
      <c r="R262" s="94" t="str">
        <f t="shared" si="9"/>
        <v>Before</v>
      </c>
    </row>
    <row r="263" spans="1:18" ht="15.75" customHeight="1" thickTop="1" thickBot="1">
      <c r="A263" s="22" t="s">
        <v>292</v>
      </c>
      <c r="B263" s="7" t="s">
        <v>22</v>
      </c>
      <c r="C263" s="6">
        <v>45626</v>
      </c>
      <c r="D263" s="7" t="s">
        <v>23</v>
      </c>
      <c r="E263" s="5" t="s">
        <v>18</v>
      </c>
      <c r="F263" s="8">
        <v>4963</v>
      </c>
      <c r="G263" s="8">
        <v>255</v>
      </c>
      <c r="H263" s="8">
        <v>193</v>
      </c>
      <c r="I263" s="8">
        <v>44386</v>
      </c>
      <c r="J263" s="4">
        <f t="shared" si="8"/>
        <v>5411</v>
      </c>
      <c r="K263" s="8">
        <v>28415</v>
      </c>
      <c r="L263" s="8">
        <v>174</v>
      </c>
      <c r="M263" s="5" t="s">
        <v>341</v>
      </c>
      <c r="N263" s="5" t="s">
        <v>34</v>
      </c>
      <c r="O263" s="5" t="s">
        <v>16</v>
      </c>
      <c r="P263" s="89">
        <f>IFERROR(VLOOKUP(O263,'[1]Campaign Metadata'!A:C,2,FALSE),"")</f>
        <v>45667</v>
      </c>
      <c r="Q263" s="90">
        <f>IFERROR(VLOOKUP(O263,'[1]Campaign Metadata'!A:C,3,FALSE),"")</f>
        <v>45698</v>
      </c>
      <c r="R263" s="94" t="str">
        <f t="shared" si="9"/>
        <v>Before</v>
      </c>
    </row>
    <row r="264" spans="1:18" ht="15.75" customHeight="1" thickTop="1" thickBot="1">
      <c r="A264" s="23" t="s">
        <v>293</v>
      </c>
      <c r="B264" s="11" t="s">
        <v>27</v>
      </c>
      <c r="C264" s="10">
        <v>45378</v>
      </c>
      <c r="D264" s="11" t="s">
        <v>14</v>
      </c>
      <c r="E264" s="9" t="s">
        <v>345</v>
      </c>
      <c r="F264" s="12">
        <v>2399</v>
      </c>
      <c r="G264" s="12">
        <v>191</v>
      </c>
      <c r="H264" s="12">
        <v>221</v>
      </c>
      <c r="I264" s="12">
        <v>51603</v>
      </c>
      <c r="J264" s="4">
        <f t="shared" si="8"/>
        <v>2811</v>
      </c>
      <c r="K264" s="12">
        <v>40033</v>
      </c>
      <c r="L264" s="12">
        <v>173</v>
      </c>
      <c r="M264" s="9" t="s">
        <v>19</v>
      </c>
      <c r="N264" s="9" t="s">
        <v>340</v>
      </c>
      <c r="O264" s="9" t="s">
        <v>20</v>
      </c>
      <c r="P264" s="89">
        <f>IFERROR(VLOOKUP(O264,'[1]Campaign Metadata'!A:C,2,FALSE),"")</f>
        <v>45717</v>
      </c>
      <c r="Q264" s="90">
        <f>IFERROR(VLOOKUP(O264,'[1]Campaign Metadata'!A:C,3,FALSE),"")</f>
        <v>45747</v>
      </c>
      <c r="R264" s="94" t="str">
        <f t="shared" si="9"/>
        <v>Before</v>
      </c>
    </row>
    <row r="265" spans="1:18" ht="15.75" customHeight="1" thickTop="1" thickBot="1">
      <c r="A265" s="22" t="s">
        <v>294</v>
      </c>
      <c r="B265" s="7" t="s">
        <v>27</v>
      </c>
      <c r="C265" s="6">
        <v>45808</v>
      </c>
      <c r="D265" s="7" t="s">
        <v>48</v>
      </c>
      <c r="E265" s="5" t="s">
        <v>30</v>
      </c>
      <c r="F265" s="8">
        <v>2162</v>
      </c>
      <c r="G265" s="8">
        <v>318</v>
      </c>
      <c r="H265" s="8">
        <v>83</v>
      </c>
      <c r="I265" s="8">
        <v>46719</v>
      </c>
      <c r="J265" s="4">
        <f t="shared" si="8"/>
        <v>2563</v>
      </c>
      <c r="K265" s="8">
        <v>20482</v>
      </c>
      <c r="L265" s="8">
        <v>185</v>
      </c>
      <c r="M265" s="5" t="s">
        <v>19</v>
      </c>
      <c r="N265" s="5" t="s">
        <v>37</v>
      </c>
      <c r="O265" s="5" t="s">
        <v>49</v>
      </c>
      <c r="P265" s="89">
        <f>IFERROR(VLOOKUP(O265,'[1]Campaign Metadata'!A:C,2,FALSE),"")</f>
        <v>45458</v>
      </c>
      <c r="Q265" s="90">
        <f>IFERROR(VLOOKUP(O265,'[1]Campaign Metadata'!A:C,3,FALSE),"")</f>
        <v>45488</v>
      </c>
      <c r="R265" s="94" t="str">
        <f t="shared" si="9"/>
        <v>After</v>
      </c>
    </row>
    <row r="266" spans="1:18" ht="15.75" customHeight="1" thickTop="1" thickBot="1">
      <c r="A266" s="23" t="s">
        <v>295</v>
      </c>
      <c r="B266" s="11" t="s">
        <v>22</v>
      </c>
      <c r="C266" s="10">
        <v>45825</v>
      </c>
      <c r="D266" s="11" t="s">
        <v>23</v>
      </c>
      <c r="E266" s="9" t="s">
        <v>18</v>
      </c>
      <c r="F266" s="12">
        <v>4341</v>
      </c>
      <c r="G266" s="12">
        <v>141</v>
      </c>
      <c r="H266" s="12">
        <v>63</v>
      </c>
      <c r="I266" s="12">
        <v>50081</v>
      </c>
      <c r="J266" s="4">
        <f t="shared" si="8"/>
        <v>4545</v>
      </c>
      <c r="K266" s="12">
        <v>27507</v>
      </c>
      <c r="L266" s="12">
        <v>221</v>
      </c>
      <c r="M266" s="9" t="s">
        <v>19</v>
      </c>
      <c r="N266" s="9" t="s">
        <v>341</v>
      </c>
      <c r="O266" s="9" t="s">
        <v>16</v>
      </c>
      <c r="P266" s="89">
        <f>IFERROR(VLOOKUP(O266,'[1]Campaign Metadata'!A:C,2,FALSE),"")</f>
        <v>45667</v>
      </c>
      <c r="Q266" s="90">
        <f>IFERROR(VLOOKUP(O266,'[1]Campaign Metadata'!A:C,3,FALSE),"")</f>
        <v>45698</v>
      </c>
      <c r="R266" s="94" t="str">
        <f t="shared" si="9"/>
        <v>After</v>
      </c>
    </row>
    <row r="267" spans="1:18" ht="15.75" customHeight="1" thickTop="1" thickBot="1">
      <c r="A267" s="22" t="s">
        <v>296</v>
      </c>
      <c r="B267" s="7" t="s">
        <v>13</v>
      </c>
      <c r="C267" s="6">
        <v>45442</v>
      </c>
      <c r="D267" s="7" t="s">
        <v>23</v>
      </c>
      <c r="E267" s="5" t="s">
        <v>30</v>
      </c>
      <c r="F267" s="8">
        <v>2448</v>
      </c>
      <c r="G267" s="8">
        <v>464</v>
      </c>
      <c r="H267" s="8">
        <v>98</v>
      </c>
      <c r="I267" s="8">
        <v>25737</v>
      </c>
      <c r="J267" s="4">
        <f t="shared" si="8"/>
        <v>3010</v>
      </c>
      <c r="K267" s="8">
        <v>48545</v>
      </c>
      <c r="L267" s="8">
        <v>246</v>
      </c>
      <c r="M267" s="5" t="s">
        <v>34</v>
      </c>
      <c r="N267" s="5"/>
      <c r="O267" s="5" t="s">
        <v>46</v>
      </c>
      <c r="P267" s="89">
        <f>IFERROR(VLOOKUP(O267,'[1]Campaign Metadata'!A:C,2,FALSE),"")</f>
        <v>45627</v>
      </c>
      <c r="Q267" s="90">
        <f>IFERROR(VLOOKUP(O267,'[1]Campaign Metadata'!A:C,3,FALSE),"")</f>
        <v>45657</v>
      </c>
      <c r="R267" s="94" t="str">
        <f t="shared" si="9"/>
        <v>Before</v>
      </c>
    </row>
    <row r="268" spans="1:18" ht="15.75" customHeight="1" thickTop="1" thickBot="1">
      <c r="A268" s="23" t="s">
        <v>297</v>
      </c>
      <c r="B268" s="11" t="s">
        <v>27</v>
      </c>
      <c r="C268" s="10">
        <v>45604</v>
      </c>
      <c r="D268" s="11" t="s">
        <v>14</v>
      </c>
      <c r="E268" s="9" t="s">
        <v>33</v>
      </c>
      <c r="F268" s="12">
        <v>2471</v>
      </c>
      <c r="G268" s="12">
        <v>166</v>
      </c>
      <c r="H268" s="12">
        <v>320</v>
      </c>
      <c r="I268" s="12">
        <v>48254</v>
      </c>
      <c r="J268" s="4">
        <f t="shared" si="8"/>
        <v>2957</v>
      </c>
      <c r="K268" s="12">
        <v>46900</v>
      </c>
      <c r="L268" s="12">
        <v>111</v>
      </c>
      <c r="M268" s="9" t="s">
        <v>19</v>
      </c>
      <c r="N268" s="9" t="s">
        <v>340</v>
      </c>
      <c r="O268" s="9" t="s">
        <v>20</v>
      </c>
      <c r="P268" s="89">
        <f>IFERROR(VLOOKUP(O268,'[1]Campaign Metadata'!A:C,2,FALSE),"")</f>
        <v>45717</v>
      </c>
      <c r="Q268" s="90">
        <f>IFERROR(VLOOKUP(O268,'[1]Campaign Metadata'!A:C,3,FALSE),"")</f>
        <v>45747</v>
      </c>
      <c r="R268" s="94" t="str">
        <f t="shared" si="9"/>
        <v>Before</v>
      </c>
    </row>
    <row r="269" spans="1:18" ht="15.75" customHeight="1" thickTop="1" thickBot="1">
      <c r="A269" s="22" t="s">
        <v>298</v>
      </c>
      <c r="B269" s="7" t="s">
        <v>27</v>
      </c>
      <c r="C269" s="6">
        <v>45368</v>
      </c>
      <c r="D269" s="7" t="s">
        <v>48</v>
      </c>
      <c r="E269" s="5" t="s">
        <v>18</v>
      </c>
      <c r="F269" s="8">
        <v>2692</v>
      </c>
      <c r="G269" s="8">
        <v>446</v>
      </c>
      <c r="H269" s="8">
        <v>216</v>
      </c>
      <c r="I269" s="8">
        <v>45818</v>
      </c>
      <c r="J269" s="4">
        <f t="shared" si="8"/>
        <v>3354</v>
      </c>
      <c r="K269" s="8">
        <v>62723</v>
      </c>
      <c r="L269" s="8">
        <v>85</v>
      </c>
      <c r="M269" s="5" t="s">
        <v>19</v>
      </c>
      <c r="N269" s="5" t="s">
        <v>37</v>
      </c>
      <c r="O269" s="5" t="s">
        <v>49</v>
      </c>
      <c r="P269" s="89">
        <f>IFERROR(VLOOKUP(O269,'[1]Campaign Metadata'!A:C,2,FALSE),"")</f>
        <v>45458</v>
      </c>
      <c r="Q269" s="90">
        <f>IFERROR(VLOOKUP(O269,'[1]Campaign Metadata'!A:C,3,FALSE),"")</f>
        <v>45488</v>
      </c>
      <c r="R269" s="94" t="str">
        <f t="shared" si="9"/>
        <v>Before</v>
      </c>
    </row>
    <row r="270" spans="1:18" ht="15.75" customHeight="1" thickTop="1" thickBot="1">
      <c r="A270" s="23" t="s">
        <v>299</v>
      </c>
      <c r="B270" s="11" t="s">
        <v>27</v>
      </c>
      <c r="C270" s="10">
        <v>45464</v>
      </c>
      <c r="D270" s="11" t="s">
        <v>48</v>
      </c>
      <c r="E270" s="9" t="s">
        <v>345</v>
      </c>
      <c r="F270" s="12">
        <v>4621</v>
      </c>
      <c r="G270" s="12">
        <v>374</v>
      </c>
      <c r="H270" s="12">
        <v>298</v>
      </c>
      <c r="I270" s="12">
        <v>56979</v>
      </c>
      <c r="J270" s="4">
        <f t="shared" si="8"/>
        <v>5293</v>
      </c>
      <c r="K270" s="12">
        <v>24098</v>
      </c>
      <c r="L270" s="12">
        <v>205</v>
      </c>
      <c r="M270" s="9" t="s">
        <v>19</v>
      </c>
      <c r="N270" s="9" t="s">
        <v>37</v>
      </c>
      <c r="O270" s="9" t="s">
        <v>49</v>
      </c>
      <c r="P270" s="89">
        <f>IFERROR(VLOOKUP(O270,'[1]Campaign Metadata'!A:C,2,FALSE),"")</f>
        <v>45458</v>
      </c>
      <c r="Q270" s="90">
        <f>IFERROR(VLOOKUP(O270,'[1]Campaign Metadata'!A:C,3,FALSE),"")</f>
        <v>45488</v>
      </c>
      <c r="R270" s="94" t="str">
        <f t="shared" si="9"/>
        <v>During</v>
      </c>
    </row>
    <row r="271" spans="1:18" ht="15.75" customHeight="1" thickTop="1" thickBot="1">
      <c r="A271" s="22" t="s">
        <v>300</v>
      </c>
      <c r="B271" s="7" t="s">
        <v>22</v>
      </c>
      <c r="C271" s="6">
        <v>45609</v>
      </c>
      <c r="D271" s="7" t="s">
        <v>23</v>
      </c>
      <c r="E271" s="5" t="s">
        <v>24</v>
      </c>
      <c r="F271" s="8">
        <v>1409</v>
      </c>
      <c r="G271" s="8">
        <v>466</v>
      </c>
      <c r="H271" s="8">
        <v>105</v>
      </c>
      <c r="I271" s="8">
        <v>58923</v>
      </c>
      <c r="J271" s="4">
        <f t="shared" si="8"/>
        <v>1980</v>
      </c>
      <c r="K271" s="8">
        <v>38753</v>
      </c>
      <c r="L271" s="8">
        <v>265</v>
      </c>
      <c r="M271" s="5" t="s">
        <v>19</v>
      </c>
      <c r="N271" s="5" t="s">
        <v>341</v>
      </c>
      <c r="O271" s="5" t="s">
        <v>16</v>
      </c>
      <c r="P271" s="89">
        <f>IFERROR(VLOOKUP(O271,'[1]Campaign Metadata'!A:C,2,FALSE),"")</f>
        <v>45667</v>
      </c>
      <c r="Q271" s="90">
        <f>IFERROR(VLOOKUP(O271,'[1]Campaign Metadata'!A:C,3,FALSE),"")</f>
        <v>45698</v>
      </c>
      <c r="R271" s="94" t="str">
        <f t="shared" si="9"/>
        <v>Before</v>
      </c>
    </row>
    <row r="272" spans="1:18" ht="15.75" customHeight="1" thickTop="1" thickBot="1">
      <c r="A272" s="23" t="s">
        <v>301</v>
      </c>
      <c r="B272" s="11" t="s">
        <v>22</v>
      </c>
      <c r="C272" s="10">
        <v>45693</v>
      </c>
      <c r="D272" s="11" t="s">
        <v>23</v>
      </c>
      <c r="E272" s="9" t="s">
        <v>15</v>
      </c>
      <c r="F272" s="12">
        <v>3029</v>
      </c>
      <c r="G272" s="12">
        <v>440</v>
      </c>
      <c r="H272" s="12">
        <v>66</v>
      </c>
      <c r="I272" s="12">
        <v>23815</v>
      </c>
      <c r="J272" s="4">
        <f t="shared" si="8"/>
        <v>3535</v>
      </c>
      <c r="K272" s="12">
        <v>47895</v>
      </c>
      <c r="L272" s="12">
        <v>210</v>
      </c>
      <c r="M272" s="9" t="s">
        <v>19</v>
      </c>
      <c r="N272" s="9" t="s">
        <v>341</v>
      </c>
      <c r="O272" s="9" t="s">
        <v>16</v>
      </c>
      <c r="P272" s="89">
        <f>IFERROR(VLOOKUP(O272,'[1]Campaign Metadata'!A:C,2,FALSE),"")</f>
        <v>45667</v>
      </c>
      <c r="Q272" s="90">
        <f>IFERROR(VLOOKUP(O272,'[1]Campaign Metadata'!A:C,3,FALSE),"")</f>
        <v>45698</v>
      </c>
      <c r="R272" s="94" t="str">
        <f t="shared" si="9"/>
        <v>During</v>
      </c>
    </row>
    <row r="273" spans="1:18" ht="15.75" customHeight="1" thickTop="1" thickBot="1">
      <c r="A273" s="22" t="s">
        <v>302</v>
      </c>
      <c r="B273" s="7" t="s">
        <v>22</v>
      </c>
      <c r="C273" s="6">
        <v>45603</v>
      </c>
      <c r="D273" s="7" t="s">
        <v>14</v>
      </c>
      <c r="E273" s="5" t="s">
        <v>18</v>
      </c>
      <c r="F273" s="8">
        <v>2229</v>
      </c>
      <c r="G273" s="8">
        <v>395</v>
      </c>
      <c r="H273" s="8">
        <v>328</v>
      </c>
      <c r="I273" s="8">
        <v>56921</v>
      </c>
      <c r="J273" s="4">
        <f t="shared" si="8"/>
        <v>2952</v>
      </c>
      <c r="K273" s="8">
        <v>37176</v>
      </c>
      <c r="L273" s="8">
        <v>126</v>
      </c>
      <c r="M273" s="5" t="s">
        <v>37</v>
      </c>
      <c r="N273" s="5"/>
      <c r="O273" s="5" t="s">
        <v>20</v>
      </c>
      <c r="P273" s="89">
        <f>IFERROR(VLOOKUP(O273,'[1]Campaign Metadata'!A:C,2,FALSE),"")</f>
        <v>45717</v>
      </c>
      <c r="Q273" s="90">
        <f>IFERROR(VLOOKUP(O273,'[1]Campaign Metadata'!A:C,3,FALSE),"")</f>
        <v>45747</v>
      </c>
      <c r="R273" s="94" t="str">
        <f t="shared" si="9"/>
        <v>Before</v>
      </c>
    </row>
    <row r="274" spans="1:18" ht="15.75" customHeight="1" thickTop="1" thickBot="1">
      <c r="A274" s="23" t="s">
        <v>303</v>
      </c>
      <c r="B274" s="11" t="s">
        <v>22</v>
      </c>
      <c r="C274" s="10">
        <v>45334</v>
      </c>
      <c r="D274" s="11" t="s">
        <v>14</v>
      </c>
      <c r="E274" s="9" t="s">
        <v>18</v>
      </c>
      <c r="F274" s="12">
        <v>2691</v>
      </c>
      <c r="G274" s="12">
        <v>486</v>
      </c>
      <c r="H274" s="12">
        <v>206</v>
      </c>
      <c r="I274" s="12">
        <v>51133</v>
      </c>
      <c r="J274" s="4">
        <f t="shared" si="8"/>
        <v>3383</v>
      </c>
      <c r="K274" s="12">
        <v>44583</v>
      </c>
      <c r="L274" s="12">
        <v>276</v>
      </c>
      <c r="M274" s="9" t="s">
        <v>34</v>
      </c>
      <c r="N274" s="9"/>
      <c r="O274" s="9" t="s">
        <v>16</v>
      </c>
      <c r="P274" s="89">
        <f>IFERROR(VLOOKUP(O274,'[1]Campaign Metadata'!A:C,2,FALSE),"")</f>
        <v>45667</v>
      </c>
      <c r="Q274" s="90">
        <f>IFERROR(VLOOKUP(O274,'[1]Campaign Metadata'!A:C,3,FALSE),"")</f>
        <v>45698</v>
      </c>
      <c r="R274" s="94" t="str">
        <f t="shared" si="9"/>
        <v>Before</v>
      </c>
    </row>
    <row r="275" spans="1:18" ht="15.75" customHeight="1" thickTop="1" thickBot="1">
      <c r="A275" s="22" t="s">
        <v>304</v>
      </c>
      <c r="B275" s="7" t="s">
        <v>13</v>
      </c>
      <c r="C275" s="6">
        <v>45573</v>
      </c>
      <c r="D275" s="7" t="s">
        <v>14</v>
      </c>
      <c r="E275" s="5" t="s">
        <v>18</v>
      </c>
      <c r="F275" s="8">
        <v>2110</v>
      </c>
      <c r="G275" s="8">
        <v>384</v>
      </c>
      <c r="H275" s="8">
        <v>236</v>
      </c>
      <c r="I275" s="8">
        <v>49965</v>
      </c>
      <c r="J275" s="4">
        <f t="shared" si="8"/>
        <v>2730</v>
      </c>
      <c r="K275" s="8">
        <v>61555</v>
      </c>
      <c r="L275" s="8">
        <v>195</v>
      </c>
      <c r="M275" s="5" t="s">
        <v>19</v>
      </c>
      <c r="N275" s="5"/>
      <c r="O275" s="5" t="s">
        <v>20</v>
      </c>
      <c r="P275" s="89">
        <f>IFERROR(VLOOKUP(O275,'[1]Campaign Metadata'!A:C,2,FALSE),"")</f>
        <v>45717</v>
      </c>
      <c r="Q275" s="90">
        <f>IFERROR(VLOOKUP(O275,'[1]Campaign Metadata'!A:C,3,FALSE),"")</f>
        <v>45747</v>
      </c>
      <c r="R275" s="94" t="str">
        <f t="shared" si="9"/>
        <v>Before</v>
      </c>
    </row>
    <row r="276" spans="1:18" ht="15.75" customHeight="1" thickTop="1" thickBot="1">
      <c r="A276" s="23" t="s">
        <v>305</v>
      </c>
      <c r="B276" s="11" t="s">
        <v>13</v>
      </c>
      <c r="C276" s="10">
        <v>45341</v>
      </c>
      <c r="D276" s="11" t="s">
        <v>14</v>
      </c>
      <c r="E276" s="9" t="s">
        <v>344</v>
      </c>
      <c r="F276" s="12">
        <v>4752</v>
      </c>
      <c r="G276" s="12">
        <v>449</v>
      </c>
      <c r="H276" s="12">
        <v>309</v>
      </c>
      <c r="I276" s="12">
        <v>58530</v>
      </c>
      <c r="J276" s="4">
        <f t="shared" si="8"/>
        <v>5510</v>
      </c>
      <c r="K276" s="12">
        <v>26630</v>
      </c>
      <c r="L276" s="12">
        <v>234</v>
      </c>
      <c r="M276" s="9" t="s">
        <v>19</v>
      </c>
      <c r="N276" s="9"/>
      <c r="O276" s="9" t="s">
        <v>20</v>
      </c>
      <c r="P276" s="89">
        <f>IFERROR(VLOOKUP(O276,'[1]Campaign Metadata'!A:C,2,FALSE),"")</f>
        <v>45717</v>
      </c>
      <c r="Q276" s="90">
        <f>IFERROR(VLOOKUP(O276,'[1]Campaign Metadata'!A:C,3,FALSE),"")</f>
        <v>45747</v>
      </c>
      <c r="R276" s="94" t="str">
        <f t="shared" si="9"/>
        <v>Before</v>
      </c>
    </row>
    <row r="277" spans="1:18" ht="15.75" customHeight="1" thickTop="1" thickBot="1">
      <c r="A277" s="22" t="s">
        <v>306</v>
      </c>
      <c r="B277" s="7" t="s">
        <v>22</v>
      </c>
      <c r="C277" s="6">
        <v>45720</v>
      </c>
      <c r="D277" s="7" t="s">
        <v>14</v>
      </c>
      <c r="E277" s="5" t="s">
        <v>15</v>
      </c>
      <c r="F277" s="8">
        <v>2177</v>
      </c>
      <c r="G277" s="8">
        <v>258</v>
      </c>
      <c r="H277" s="8">
        <v>292</v>
      </c>
      <c r="I277" s="8">
        <v>47276</v>
      </c>
      <c r="J277" s="4">
        <f t="shared" si="8"/>
        <v>2727</v>
      </c>
      <c r="K277" s="8">
        <v>51324</v>
      </c>
      <c r="L277" s="8">
        <v>143</v>
      </c>
      <c r="M277" s="5" t="s">
        <v>34</v>
      </c>
      <c r="N277" s="5"/>
      <c r="O277" s="5" t="s">
        <v>16</v>
      </c>
      <c r="P277" s="89">
        <f>IFERROR(VLOOKUP(O277,'[1]Campaign Metadata'!A:C,2,FALSE),"")</f>
        <v>45667</v>
      </c>
      <c r="Q277" s="90">
        <f>IFERROR(VLOOKUP(O277,'[1]Campaign Metadata'!A:C,3,FALSE),"")</f>
        <v>45698</v>
      </c>
      <c r="R277" s="94" t="str">
        <f t="shared" si="9"/>
        <v>After</v>
      </c>
    </row>
    <row r="278" spans="1:18" ht="15.75" customHeight="1" thickTop="1" thickBot="1">
      <c r="A278" s="23" t="s">
        <v>307</v>
      </c>
      <c r="B278" s="11" t="s">
        <v>13</v>
      </c>
      <c r="C278" s="10">
        <v>45691</v>
      </c>
      <c r="D278" s="11" t="s">
        <v>23</v>
      </c>
      <c r="E278" s="9" t="s">
        <v>24</v>
      </c>
      <c r="F278" s="12">
        <v>1205</v>
      </c>
      <c r="G278" s="12">
        <v>486</v>
      </c>
      <c r="H278" s="12">
        <v>269</v>
      </c>
      <c r="I278" s="12">
        <v>23341</v>
      </c>
      <c r="J278" s="4">
        <f t="shared" si="8"/>
        <v>1960</v>
      </c>
      <c r="K278" s="12">
        <v>42411</v>
      </c>
      <c r="L278" s="12">
        <v>184</v>
      </c>
      <c r="M278" s="9" t="s">
        <v>34</v>
      </c>
      <c r="N278" s="9"/>
      <c r="O278" s="9" t="s">
        <v>46</v>
      </c>
      <c r="P278" s="89">
        <f>IFERROR(VLOOKUP(O278,'[1]Campaign Metadata'!A:C,2,FALSE),"")</f>
        <v>45627</v>
      </c>
      <c r="Q278" s="90">
        <f>IFERROR(VLOOKUP(O278,'[1]Campaign Metadata'!A:C,3,FALSE),"")</f>
        <v>45657</v>
      </c>
      <c r="R278" s="94" t="str">
        <f t="shared" si="9"/>
        <v>After</v>
      </c>
    </row>
    <row r="279" spans="1:18" ht="15.75" customHeight="1" thickTop="1" thickBot="1">
      <c r="A279" s="22" t="s">
        <v>308</v>
      </c>
      <c r="B279" s="7" t="s">
        <v>13</v>
      </c>
      <c r="C279" s="6">
        <v>45628</v>
      </c>
      <c r="D279" s="7" t="s">
        <v>14</v>
      </c>
      <c r="E279" s="5" t="s">
        <v>33</v>
      </c>
      <c r="F279" s="8">
        <v>3194</v>
      </c>
      <c r="G279" s="8">
        <v>292</v>
      </c>
      <c r="H279" s="8">
        <v>245</v>
      </c>
      <c r="I279" s="8">
        <v>56371</v>
      </c>
      <c r="J279" s="4">
        <f t="shared" si="8"/>
        <v>3731</v>
      </c>
      <c r="K279" s="8">
        <v>65597</v>
      </c>
      <c r="L279" s="8">
        <v>163</v>
      </c>
      <c r="M279" s="5" t="s">
        <v>37</v>
      </c>
      <c r="N279" s="5" t="s">
        <v>34</v>
      </c>
      <c r="O279" s="5" t="s">
        <v>16</v>
      </c>
      <c r="P279" s="89">
        <f>IFERROR(VLOOKUP(O279,'[1]Campaign Metadata'!A:C,2,FALSE),"")</f>
        <v>45667</v>
      </c>
      <c r="Q279" s="90">
        <f>IFERROR(VLOOKUP(O279,'[1]Campaign Metadata'!A:C,3,FALSE),"")</f>
        <v>45698</v>
      </c>
      <c r="R279" s="94" t="str">
        <f t="shared" si="9"/>
        <v>Before</v>
      </c>
    </row>
    <row r="280" spans="1:18" ht="15.75" customHeight="1" thickTop="1" thickBot="1">
      <c r="A280" s="23" t="s">
        <v>309</v>
      </c>
      <c r="B280" s="11" t="s">
        <v>22</v>
      </c>
      <c r="C280" s="10">
        <v>45676</v>
      </c>
      <c r="D280" s="11" t="s">
        <v>23</v>
      </c>
      <c r="E280" s="9" t="s">
        <v>24</v>
      </c>
      <c r="F280" s="12">
        <v>3507</v>
      </c>
      <c r="G280" s="12">
        <v>295</v>
      </c>
      <c r="H280" s="12">
        <v>371</v>
      </c>
      <c r="I280" s="12">
        <v>20410</v>
      </c>
      <c r="J280" s="4">
        <f t="shared" si="8"/>
        <v>4173</v>
      </c>
      <c r="K280" s="12">
        <v>53965</v>
      </c>
      <c r="L280" s="12">
        <v>212</v>
      </c>
      <c r="M280" s="9" t="s">
        <v>37</v>
      </c>
      <c r="N280" s="9" t="s">
        <v>34</v>
      </c>
      <c r="O280" s="9" t="s">
        <v>16</v>
      </c>
      <c r="P280" s="89">
        <f>IFERROR(VLOOKUP(O280,'[1]Campaign Metadata'!A:C,2,FALSE),"")</f>
        <v>45667</v>
      </c>
      <c r="Q280" s="90">
        <f>IFERROR(VLOOKUP(O280,'[1]Campaign Metadata'!A:C,3,FALSE),"")</f>
        <v>45698</v>
      </c>
      <c r="R280" s="94" t="str">
        <f t="shared" si="9"/>
        <v>During</v>
      </c>
    </row>
    <row r="281" spans="1:18" ht="15.75" customHeight="1" thickTop="1" thickBot="1">
      <c r="A281" s="22" t="s">
        <v>310</v>
      </c>
      <c r="B281" s="7" t="s">
        <v>22</v>
      </c>
      <c r="C281" s="6">
        <v>45563</v>
      </c>
      <c r="D281" s="7" t="s">
        <v>23</v>
      </c>
      <c r="E281" s="5" t="s">
        <v>344</v>
      </c>
      <c r="F281" s="8">
        <v>4471</v>
      </c>
      <c r="G281" s="8">
        <v>317</v>
      </c>
      <c r="H281" s="8">
        <v>249</v>
      </c>
      <c r="I281" s="8">
        <v>44862</v>
      </c>
      <c r="J281" s="4">
        <f t="shared" si="8"/>
        <v>5037</v>
      </c>
      <c r="K281" s="8">
        <v>33365</v>
      </c>
      <c r="L281" s="8">
        <v>184</v>
      </c>
      <c r="M281" s="5" t="s">
        <v>19</v>
      </c>
      <c r="N281" s="5" t="s">
        <v>341</v>
      </c>
      <c r="O281" s="5" t="s">
        <v>16</v>
      </c>
      <c r="P281" s="89">
        <f>IFERROR(VLOOKUP(O281,'[1]Campaign Metadata'!A:C,2,FALSE),"")</f>
        <v>45667</v>
      </c>
      <c r="Q281" s="90">
        <f>IFERROR(VLOOKUP(O281,'[1]Campaign Metadata'!A:C,3,FALSE),"")</f>
        <v>45698</v>
      </c>
      <c r="R281" s="94" t="str">
        <f t="shared" si="9"/>
        <v>Before</v>
      </c>
    </row>
    <row r="282" spans="1:18" ht="15.75" customHeight="1" thickTop="1" thickBot="1">
      <c r="A282" s="23" t="s">
        <v>311</v>
      </c>
      <c r="B282" s="11" t="s">
        <v>13</v>
      </c>
      <c r="C282" s="10">
        <v>45298</v>
      </c>
      <c r="D282" s="11" t="s">
        <v>14</v>
      </c>
      <c r="E282" s="9" t="s">
        <v>33</v>
      </c>
      <c r="F282" s="12">
        <v>4931</v>
      </c>
      <c r="G282" s="12">
        <v>469</v>
      </c>
      <c r="H282" s="12">
        <v>193</v>
      </c>
      <c r="I282" s="12">
        <v>56701</v>
      </c>
      <c r="J282" s="4">
        <f t="shared" si="8"/>
        <v>5593</v>
      </c>
      <c r="K282" s="12">
        <v>69437</v>
      </c>
      <c r="L282" s="12">
        <v>291</v>
      </c>
      <c r="M282" s="9" t="s">
        <v>37</v>
      </c>
      <c r="N282" s="9" t="s">
        <v>34</v>
      </c>
      <c r="O282" s="9" t="s">
        <v>16</v>
      </c>
      <c r="P282" s="89">
        <f>IFERROR(VLOOKUP(O282,'[1]Campaign Metadata'!A:C,2,FALSE),"")</f>
        <v>45667</v>
      </c>
      <c r="Q282" s="90">
        <f>IFERROR(VLOOKUP(O282,'[1]Campaign Metadata'!A:C,3,FALSE),"")</f>
        <v>45698</v>
      </c>
      <c r="R282" s="94" t="str">
        <f t="shared" si="9"/>
        <v>Before</v>
      </c>
    </row>
    <row r="283" spans="1:18" ht="15.75" customHeight="1" thickTop="1" thickBot="1">
      <c r="A283" s="22" t="s">
        <v>312</v>
      </c>
      <c r="B283" s="7" t="s">
        <v>22</v>
      </c>
      <c r="C283" s="6">
        <v>45343</v>
      </c>
      <c r="D283" s="7" t="s">
        <v>23</v>
      </c>
      <c r="E283" s="5" t="s">
        <v>30</v>
      </c>
      <c r="F283" s="8">
        <v>2604</v>
      </c>
      <c r="G283" s="8">
        <v>439</v>
      </c>
      <c r="H283" s="8">
        <v>148</v>
      </c>
      <c r="I283" s="8">
        <v>58468</v>
      </c>
      <c r="J283" s="4">
        <f t="shared" si="8"/>
        <v>3191</v>
      </c>
      <c r="K283" s="8">
        <v>39629</v>
      </c>
      <c r="L283" s="8">
        <v>163</v>
      </c>
      <c r="M283" s="5" t="s">
        <v>341</v>
      </c>
      <c r="N283" s="5" t="s">
        <v>34</v>
      </c>
      <c r="O283" s="5" t="s">
        <v>16</v>
      </c>
      <c r="P283" s="89">
        <f>IFERROR(VLOOKUP(O283,'[1]Campaign Metadata'!A:C,2,FALSE),"")</f>
        <v>45667</v>
      </c>
      <c r="Q283" s="90">
        <f>IFERROR(VLOOKUP(O283,'[1]Campaign Metadata'!A:C,3,FALSE),"")</f>
        <v>45698</v>
      </c>
      <c r="R283" s="94" t="str">
        <f t="shared" si="9"/>
        <v>Before</v>
      </c>
    </row>
    <row r="284" spans="1:18" ht="15.75" customHeight="1" thickTop="1" thickBot="1">
      <c r="A284" s="23" t="s">
        <v>313</v>
      </c>
      <c r="B284" s="11" t="s">
        <v>13</v>
      </c>
      <c r="C284" s="10">
        <v>45531</v>
      </c>
      <c r="D284" s="11" t="s">
        <v>14</v>
      </c>
      <c r="E284" s="9" t="s">
        <v>345</v>
      </c>
      <c r="F284" s="12">
        <v>4197</v>
      </c>
      <c r="G284" s="12">
        <v>359</v>
      </c>
      <c r="H284" s="12">
        <v>280</v>
      </c>
      <c r="I284" s="12">
        <v>56048</v>
      </c>
      <c r="J284" s="4">
        <f t="shared" si="8"/>
        <v>4836</v>
      </c>
      <c r="K284" s="12">
        <v>70930</v>
      </c>
      <c r="L284" s="12">
        <v>295</v>
      </c>
      <c r="M284" s="9" t="s">
        <v>19</v>
      </c>
      <c r="N284" s="9"/>
      <c r="O284" s="9" t="s">
        <v>20</v>
      </c>
      <c r="P284" s="89">
        <f>IFERROR(VLOOKUP(O284,'[1]Campaign Metadata'!A:C,2,FALSE),"")</f>
        <v>45717</v>
      </c>
      <c r="Q284" s="90">
        <f>IFERROR(VLOOKUP(O284,'[1]Campaign Metadata'!A:C,3,FALSE),"")</f>
        <v>45747</v>
      </c>
      <c r="R284" s="94" t="str">
        <f t="shared" si="9"/>
        <v>Before</v>
      </c>
    </row>
    <row r="285" spans="1:18" ht="15.75" customHeight="1" thickTop="1" thickBot="1">
      <c r="A285" s="22" t="s">
        <v>314</v>
      </c>
      <c r="B285" s="7" t="s">
        <v>13</v>
      </c>
      <c r="C285" s="6">
        <v>45589</v>
      </c>
      <c r="D285" s="7" t="s">
        <v>23</v>
      </c>
      <c r="E285" s="5" t="s">
        <v>33</v>
      </c>
      <c r="F285" s="8">
        <v>1914</v>
      </c>
      <c r="G285" s="8">
        <v>255</v>
      </c>
      <c r="H285" s="8">
        <v>156</v>
      </c>
      <c r="I285" s="8">
        <v>27660</v>
      </c>
      <c r="J285" s="4">
        <f t="shared" si="8"/>
        <v>2325</v>
      </c>
      <c r="K285" s="8">
        <v>47776</v>
      </c>
      <c r="L285" s="8">
        <v>111</v>
      </c>
      <c r="M285" s="5" t="s">
        <v>34</v>
      </c>
      <c r="N285" s="5"/>
      <c r="O285" s="5" t="s">
        <v>46</v>
      </c>
      <c r="P285" s="89">
        <f>IFERROR(VLOOKUP(O285,'[1]Campaign Metadata'!A:C,2,FALSE),"")</f>
        <v>45627</v>
      </c>
      <c r="Q285" s="90">
        <f>IFERROR(VLOOKUP(O285,'[1]Campaign Metadata'!A:C,3,FALSE),"")</f>
        <v>45657</v>
      </c>
      <c r="R285" s="94" t="str">
        <f t="shared" si="9"/>
        <v>Before</v>
      </c>
    </row>
    <row r="286" spans="1:18" ht="15.75" customHeight="1" thickTop="1" thickBot="1">
      <c r="A286" s="23" t="s">
        <v>315</v>
      </c>
      <c r="B286" s="11" t="s">
        <v>27</v>
      </c>
      <c r="C286" s="10">
        <v>45686</v>
      </c>
      <c r="D286" s="11" t="s">
        <v>14</v>
      </c>
      <c r="E286" s="9" t="s">
        <v>24</v>
      </c>
      <c r="F286" s="12">
        <v>1334</v>
      </c>
      <c r="G286" s="12">
        <v>357</v>
      </c>
      <c r="H286" s="12">
        <v>257</v>
      </c>
      <c r="I286" s="12">
        <v>56910</v>
      </c>
      <c r="J286" s="4">
        <f t="shared" si="8"/>
        <v>1948</v>
      </c>
      <c r="K286" s="12">
        <v>70606</v>
      </c>
      <c r="L286" s="12">
        <v>228</v>
      </c>
      <c r="M286" s="9" t="s">
        <v>19</v>
      </c>
      <c r="N286" s="9" t="s">
        <v>340</v>
      </c>
      <c r="O286" s="9" t="s">
        <v>20</v>
      </c>
      <c r="P286" s="89">
        <f>IFERROR(VLOOKUP(O286,'[1]Campaign Metadata'!A:C,2,FALSE),"")</f>
        <v>45717</v>
      </c>
      <c r="Q286" s="90">
        <f>IFERROR(VLOOKUP(O286,'[1]Campaign Metadata'!A:C,3,FALSE),"")</f>
        <v>45747</v>
      </c>
      <c r="R286" s="94" t="str">
        <f t="shared" si="9"/>
        <v>Before</v>
      </c>
    </row>
    <row r="287" spans="1:18" ht="15.75" customHeight="1" thickTop="1" thickBot="1">
      <c r="A287" s="22" t="s">
        <v>316</v>
      </c>
      <c r="B287" s="7" t="s">
        <v>13</v>
      </c>
      <c r="C287" s="6">
        <v>45413</v>
      </c>
      <c r="D287" s="7" t="s">
        <v>14</v>
      </c>
      <c r="E287" s="5" t="s">
        <v>30</v>
      </c>
      <c r="F287" s="8">
        <v>3359</v>
      </c>
      <c r="G287" s="8">
        <v>137</v>
      </c>
      <c r="H287" s="8">
        <v>387</v>
      </c>
      <c r="I287" s="8">
        <v>33861</v>
      </c>
      <c r="J287" s="4">
        <f t="shared" si="8"/>
        <v>3883</v>
      </c>
      <c r="K287" s="8">
        <v>47257</v>
      </c>
      <c r="L287" s="8">
        <v>198</v>
      </c>
      <c r="M287" s="5" t="s">
        <v>19</v>
      </c>
      <c r="N287" s="5"/>
      <c r="O287" s="5" t="s">
        <v>20</v>
      </c>
      <c r="P287" s="89">
        <f>IFERROR(VLOOKUP(O287,'[1]Campaign Metadata'!A:C,2,FALSE),"")</f>
        <v>45717</v>
      </c>
      <c r="Q287" s="90">
        <f>IFERROR(VLOOKUP(O287,'[1]Campaign Metadata'!A:C,3,FALSE),"")</f>
        <v>45747</v>
      </c>
      <c r="R287" s="94" t="str">
        <f t="shared" si="9"/>
        <v>Before</v>
      </c>
    </row>
    <row r="288" spans="1:18" ht="15.75" customHeight="1" thickTop="1" thickBot="1">
      <c r="A288" s="23" t="s">
        <v>317</v>
      </c>
      <c r="B288" s="11" t="s">
        <v>27</v>
      </c>
      <c r="C288" s="10">
        <v>45468</v>
      </c>
      <c r="D288" s="11" t="s">
        <v>14</v>
      </c>
      <c r="E288" s="9" t="s">
        <v>42</v>
      </c>
      <c r="F288" s="12">
        <v>2172</v>
      </c>
      <c r="G288" s="12">
        <v>338</v>
      </c>
      <c r="H288" s="12">
        <v>70</v>
      </c>
      <c r="I288" s="12">
        <v>30515</v>
      </c>
      <c r="J288" s="4">
        <f t="shared" si="8"/>
        <v>2580</v>
      </c>
      <c r="K288" s="12">
        <v>57853</v>
      </c>
      <c r="L288" s="12">
        <v>156</v>
      </c>
      <c r="M288" s="9" t="s">
        <v>19</v>
      </c>
      <c r="N288" s="9" t="s">
        <v>340</v>
      </c>
      <c r="O288" s="9" t="s">
        <v>20</v>
      </c>
      <c r="P288" s="89">
        <f>IFERROR(VLOOKUP(O288,'[1]Campaign Metadata'!A:C,2,FALSE),"")</f>
        <v>45717</v>
      </c>
      <c r="Q288" s="90">
        <f>IFERROR(VLOOKUP(O288,'[1]Campaign Metadata'!A:C,3,FALSE),"")</f>
        <v>45747</v>
      </c>
      <c r="R288" s="94" t="str">
        <f t="shared" si="9"/>
        <v>Before</v>
      </c>
    </row>
    <row r="289" spans="1:18" ht="15.75" customHeight="1" thickTop="1" thickBot="1">
      <c r="A289" s="22" t="s">
        <v>318</v>
      </c>
      <c r="B289" s="7" t="s">
        <v>22</v>
      </c>
      <c r="C289" s="6">
        <v>45513</v>
      </c>
      <c r="D289" s="7" t="s">
        <v>23</v>
      </c>
      <c r="E289" s="5" t="s">
        <v>347</v>
      </c>
      <c r="F289" s="8">
        <v>4877</v>
      </c>
      <c r="G289" s="8">
        <v>442</v>
      </c>
      <c r="H289" s="8">
        <v>236</v>
      </c>
      <c r="I289" s="8">
        <v>52673</v>
      </c>
      <c r="J289" s="4">
        <f t="shared" si="8"/>
        <v>5555</v>
      </c>
      <c r="K289" s="8">
        <v>48241</v>
      </c>
      <c r="L289" s="8">
        <v>114</v>
      </c>
      <c r="M289" s="5" t="s">
        <v>19</v>
      </c>
      <c r="N289" s="5" t="s">
        <v>341</v>
      </c>
      <c r="O289" s="5" t="s">
        <v>16</v>
      </c>
      <c r="P289" s="89">
        <f>IFERROR(VLOOKUP(O289,'[1]Campaign Metadata'!A:C,2,FALSE),"")</f>
        <v>45667</v>
      </c>
      <c r="Q289" s="90">
        <f>IFERROR(VLOOKUP(O289,'[1]Campaign Metadata'!A:C,3,FALSE),"")</f>
        <v>45698</v>
      </c>
      <c r="R289" s="94" t="str">
        <f t="shared" si="9"/>
        <v>Before</v>
      </c>
    </row>
    <row r="290" spans="1:18" ht="15.75" customHeight="1" thickTop="1" thickBot="1">
      <c r="A290" s="23" t="s">
        <v>319</v>
      </c>
      <c r="B290" s="11" t="s">
        <v>13</v>
      </c>
      <c r="C290" s="10">
        <v>45678</v>
      </c>
      <c r="D290" s="11" t="s">
        <v>23</v>
      </c>
      <c r="E290" s="9" t="s">
        <v>24</v>
      </c>
      <c r="F290" s="12">
        <v>4918</v>
      </c>
      <c r="G290" s="12">
        <v>440</v>
      </c>
      <c r="H290" s="12">
        <v>149</v>
      </c>
      <c r="I290" s="12">
        <v>53269</v>
      </c>
      <c r="J290" s="4">
        <f t="shared" si="8"/>
        <v>5507</v>
      </c>
      <c r="K290" s="12">
        <v>64370</v>
      </c>
      <c r="L290" s="12">
        <v>269</v>
      </c>
      <c r="M290" s="9" t="s">
        <v>34</v>
      </c>
      <c r="N290" s="9"/>
      <c r="O290" s="9" t="s">
        <v>46</v>
      </c>
      <c r="P290" s="89">
        <f>IFERROR(VLOOKUP(O290,'[1]Campaign Metadata'!A:C,2,FALSE),"")</f>
        <v>45627</v>
      </c>
      <c r="Q290" s="90">
        <f>IFERROR(VLOOKUP(O290,'[1]Campaign Metadata'!A:C,3,FALSE),"")</f>
        <v>45657</v>
      </c>
      <c r="R290" s="94" t="str">
        <f t="shared" si="9"/>
        <v>After</v>
      </c>
    </row>
    <row r="291" spans="1:18" ht="15.75" customHeight="1" thickTop="1" thickBot="1">
      <c r="A291" s="22" t="s">
        <v>320</v>
      </c>
      <c r="B291" s="7" t="s">
        <v>22</v>
      </c>
      <c r="C291" s="6">
        <v>45517</v>
      </c>
      <c r="D291" s="7" t="s">
        <v>14</v>
      </c>
      <c r="E291" s="5" t="s">
        <v>18</v>
      </c>
      <c r="F291" s="8">
        <v>3418</v>
      </c>
      <c r="G291" s="8">
        <v>107</v>
      </c>
      <c r="H291" s="8">
        <v>221</v>
      </c>
      <c r="I291" s="8">
        <v>23927</v>
      </c>
      <c r="J291" s="4">
        <f t="shared" si="8"/>
        <v>3746</v>
      </c>
      <c r="K291" s="8">
        <v>26182</v>
      </c>
      <c r="L291" s="8">
        <v>155</v>
      </c>
      <c r="M291" s="5" t="s">
        <v>37</v>
      </c>
      <c r="N291" s="5"/>
      <c r="O291" s="5" t="s">
        <v>20</v>
      </c>
      <c r="P291" s="89">
        <f>IFERROR(VLOOKUP(O291,'[1]Campaign Metadata'!A:C,2,FALSE),"")</f>
        <v>45717</v>
      </c>
      <c r="Q291" s="90">
        <f>IFERROR(VLOOKUP(O291,'[1]Campaign Metadata'!A:C,3,FALSE),"")</f>
        <v>45747</v>
      </c>
      <c r="R291" s="94" t="str">
        <f t="shared" si="9"/>
        <v>Before</v>
      </c>
    </row>
    <row r="292" spans="1:18" ht="15.75" customHeight="1" thickTop="1" thickBot="1">
      <c r="A292" s="23" t="s">
        <v>321</v>
      </c>
      <c r="B292" s="11" t="s">
        <v>13</v>
      </c>
      <c r="C292" s="10">
        <v>45472</v>
      </c>
      <c r="D292" s="11" t="s">
        <v>14</v>
      </c>
      <c r="E292" s="9" t="s">
        <v>42</v>
      </c>
      <c r="F292" s="12">
        <v>2088</v>
      </c>
      <c r="G292" s="12">
        <v>490</v>
      </c>
      <c r="H292" s="12">
        <v>124</v>
      </c>
      <c r="I292" s="12">
        <v>46544</v>
      </c>
      <c r="J292" s="4">
        <f t="shared" si="8"/>
        <v>2702</v>
      </c>
      <c r="K292" s="12">
        <v>69346</v>
      </c>
      <c r="L292" s="12">
        <v>178</v>
      </c>
      <c r="M292" s="9" t="s">
        <v>37</v>
      </c>
      <c r="N292" s="9" t="s">
        <v>34</v>
      </c>
      <c r="O292" s="9" t="s">
        <v>16</v>
      </c>
      <c r="P292" s="89">
        <f>IFERROR(VLOOKUP(O292,'[1]Campaign Metadata'!A:C,2,FALSE),"")</f>
        <v>45667</v>
      </c>
      <c r="Q292" s="90">
        <f>IFERROR(VLOOKUP(O292,'[1]Campaign Metadata'!A:C,3,FALSE),"")</f>
        <v>45698</v>
      </c>
      <c r="R292" s="94" t="str">
        <f t="shared" si="9"/>
        <v>Before</v>
      </c>
    </row>
    <row r="293" spans="1:18" ht="15.75" customHeight="1" thickTop="1" thickBot="1">
      <c r="A293" s="22" t="s">
        <v>322</v>
      </c>
      <c r="B293" s="7" t="s">
        <v>22</v>
      </c>
      <c r="C293" s="6">
        <v>45599</v>
      </c>
      <c r="D293" s="7" t="s">
        <v>23</v>
      </c>
      <c r="E293" s="5" t="s">
        <v>18</v>
      </c>
      <c r="F293" s="8">
        <v>3061</v>
      </c>
      <c r="G293" s="8">
        <v>320</v>
      </c>
      <c r="H293" s="8">
        <v>76</v>
      </c>
      <c r="I293" s="8">
        <v>26640</v>
      </c>
      <c r="J293" s="4">
        <f t="shared" si="8"/>
        <v>3457</v>
      </c>
      <c r="K293" s="8">
        <v>24306</v>
      </c>
      <c r="L293" s="8">
        <v>112</v>
      </c>
      <c r="M293" s="5" t="s">
        <v>341</v>
      </c>
      <c r="N293" s="5" t="s">
        <v>34</v>
      </c>
      <c r="O293" s="5" t="s">
        <v>16</v>
      </c>
      <c r="P293" s="89">
        <f>IFERROR(VLOOKUP(O293,'[1]Campaign Metadata'!A:C,2,FALSE),"")</f>
        <v>45667</v>
      </c>
      <c r="Q293" s="90">
        <f>IFERROR(VLOOKUP(O293,'[1]Campaign Metadata'!A:C,3,FALSE),"")</f>
        <v>45698</v>
      </c>
      <c r="R293" s="94" t="str">
        <f t="shared" si="9"/>
        <v>Before</v>
      </c>
    </row>
    <row r="294" spans="1:18" ht="15.75" customHeight="1" thickTop="1" thickBot="1">
      <c r="A294" s="23" t="s">
        <v>323</v>
      </c>
      <c r="B294" s="11" t="s">
        <v>27</v>
      </c>
      <c r="C294" s="10">
        <v>45765</v>
      </c>
      <c r="D294" s="11" t="s">
        <v>48</v>
      </c>
      <c r="E294" s="9" t="s">
        <v>42</v>
      </c>
      <c r="F294" s="12">
        <v>1265</v>
      </c>
      <c r="G294" s="12">
        <v>230</v>
      </c>
      <c r="H294" s="12">
        <v>364</v>
      </c>
      <c r="I294" s="12">
        <v>41312</v>
      </c>
      <c r="J294" s="4">
        <f t="shared" si="8"/>
        <v>1859</v>
      </c>
      <c r="K294" s="12">
        <v>50382</v>
      </c>
      <c r="L294" s="12">
        <v>106</v>
      </c>
      <c r="M294" s="9" t="s">
        <v>19</v>
      </c>
      <c r="N294" s="9" t="s">
        <v>37</v>
      </c>
      <c r="O294" s="9" t="s">
        <v>49</v>
      </c>
      <c r="P294" s="89">
        <f>IFERROR(VLOOKUP(O294,'[1]Campaign Metadata'!A:C,2,FALSE),"")</f>
        <v>45458</v>
      </c>
      <c r="Q294" s="90">
        <f>IFERROR(VLOOKUP(O294,'[1]Campaign Metadata'!A:C,3,FALSE),"")</f>
        <v>45488</v>
      </c>
      <c r="R294" s="94" t="str">
        <f t="shared" si="9"/>
        <v>After</v>
      </c>
    </row>
    <row r="295" spans="1:18" ht="15.75" customHeight="1" thickTop="1" thickBot="1">
      <c r="A295" s="22" t="s">
        <v>324</v>
      </c>
      <c r="B295" s="7" t="s">
        <v>13</v>
      </c>
      <c r="C295" s="6">
        <v>45653</v>
      </c>
      <c r="D295" s="7" t="s">
        <v>14</v>
      </c>
      <c r="E295" s="5" t="s">
        <v>347</v>
      </c>
      <c r="F295" s="8">
        <v>1436</v>
      </c>
      <c r="G295" s="8">
        <v>219</v>
      </c>
      <c r="H295" s="8">
        <v>229</v>
      </c>
      <c r="I295" s="8">
        <v>58488</v>
      </c>
      <c r="J295" s="4">
        <f t="shared" si="8"/>
        <v>1884</v>
      </c>
      <c r="K295" s="8">
        <v>24314</v>
      </c>
      <c r="L295" s="8">
        <v>147</v>
      </c>
      <c r="M295" s="5" t="s">
        <v>19</v>
      </c>
      <c r="N295" s="5"/>
      <c r="O295" s="5" t="s">
        <v>20</v>
      </c>
      <c r="P295" s="89">
        <f>IFERROR(VLOOKUP(O295,'[1]Campaign Metadata'!A:C,2,FALSE),"")</f>
        <v>45717</v>
      </c>
      <c r="Q295" s="90">
        <f>IFERROR(VLOOKUP(O295,'[1]Campaign Metadata'!A:C,3,FALSE),"")</f>
        <v>45747</v>
      </c>
      <c r="R295" s="94" t="str">
        <f t="shared" si="9"/>
        <v>Before</v>
      </c>
    </row>
    <row r="296" spans="1:18" ht="15.75" customHeight="1" thickTop="1" thickBot="1">
      <c r="A296" s="23" t="s">
        <v>325</v>
      </c>
      <c r="B296" s="11" t="s">
        <v>13</v>
      </c>
      <c r="C296" s="10">
        <v>45724</v>
      </c>
      <c r="D296" s="11" t="s">
        <v>23</v>
      </c>
      <c r="E296" s="9" t="s">
        <v>33</v>
      </c>
      <c r="F296" s="12">
        <v>2244</v>
      </c>
      <c r="G296" s="12">
        <v>392</v>
      </c>
      <c r="H296" s="12">
        <v>231</v>
      </c>
      <c r="I296" s="12">
        <v>25834</v>
      </c>
      <c r="J296" s="4">
        <f t="shared" si="8"/>
        <v>2867</v>
      </c>
      <c r="K296" s="12">
        <v>50906</v>
      </c>
      <c r="L296" s="12">
        <v>165</v>
      </c>
      <c r="M296" s="9" t="s">
        <v>34</v>
      </c>
      <c r="N296" s="9"/>
      <c r="O296" s="9" t="s">
        <v>46</v>
      </c>
      <c r="P296" s="89">
        <f>IFERROR(VLOOKUP(O296,'[1]Campaign Metadata'!A:C,2,FALSE),"")</f>
        <v>45627</v>
      </c>
      <c r="Q296" s="90">
        <f>IFERROR(VLOOKUP(O296,'[1]Campaign Metadata'!A:C,3,FALSE),"")</f>
        <v>45657</v>
      </c>
      <c r="R296" s="94" t="str">
        <f t="shared" si="9"/>
        <v>After</v>
      </c>
    </row>
    <row r="297" spans="1:18" ht="15.75" customHeight="1" thickTop="1" thickBot="1">
      <c r="A297" s="22" t="s">
        <v>326</v>
      </c>
      <c r="B297" s="7" t="s">
        <v>22</v>
      </c>
      <c r="C297" s="6">
        <v>45736</v>
      </c>
      <c r="D297" s="7" t="s">
        <v>23</v>
      </c>
      <c r="E297" s="5" t="s">
        <v>42</v>
      </c>
      <c r="F297" s="8">
        <v>3393</v>
      </c>
      <c r="G297" s="8">
        <v>104</v>
      </c>
      <c r="H297" s="8">
        <v>79</v>
      </c>
      <c r="I297" s="8">
        <v>30025</v>
      </c>
      <c r="J297" s="4">
        <f t="shared" si="8"/>
        <v>3576</v>
      </c>
      <c r="K297" s="8">
        <v>21593</v>
      </c>
      <c r="L297" s="8">
        <v>165</v>
      </c>
      <c r="M297" s="5" t="s">
        <v>341</v>
      </c>
      <c r="N297" s="5" t="s">
        <v>34</v>
      </c>
      <c r="O297" s="5" t="s">
        <v>16</v>
      </c>
      <c r="P297" s="89">
        <f>IFERROR(VLOOKUP(O297,'[1]Campaign Metadata'!A:C,2,FALSE),"")</f>
        <v>45667</v>
      </c>
      <c r="Q297" s="90">
        <f>IFERROR(VLOOKUP(O297,'[1]Campaign Metadata'!A:C,3,FALSE),"")</f>
        <v>45698</v>
      </c>
      <c r="R297" s="94" t="str">
        <f t="shared" si="9"/>
        <v>After</v>
      </c>
    </row>
    <row r="298" spans="1:18" ht="15.75" customHeight="1" thickTop="1" thickBot="1">
      <c r="A298" s="23" t="s">
        <v>327</v>
      </c>
      <c r="B298" s="11" t="s">
        <v>22</v>
      </c>
      <c r="C298" s="10">
        <v>45612</v>
      </c>
      <c r="D298" s="11" t="s">
        <v>14</v>
      </c>
      <c r="E298" s="9" t="s">
        <v>18</v>
      </c>
      <c r="F298" s="12">
        <v>2901</v>
      </c>
      <c r="G298" s="12">
        <v>108</v>
      </c>
      <c r="H298" s="12">
        <v>86</v>
      </c>
      <c r="I298" s="12">
        <v>51777</v>
      </c>
      <c r="J298" s="4">
        <f t="shared" si="8"/>
        <v>3095</v>
      </c>
      <c r="K298" s="12">
        <v>23773</v>
      </c>
      <c r="L298" s="12">
        <v>160</v>
      </c>
      <c r="M298" s="9" t="s">
        <v>37</v>
      </c>
      <c r="N298" s="9"/>
      <c r="O298" s="9" t="s">
        <v>20</v>
      </c>
      <c r="P298" s="89">
        <f>IFERROR(VLOOKUP(O298,'[1]Campaign Metadata'!A:C,2,FALSE),"")</f>
        <v>45717</v>
      </c>
      <c r="Q298" s="90">
        <f>IFERROR(VLOOKUP(O298,'[1]Campaign Metadata'!A:C,3,FALSE),"")</f>
        <v>45747</v>
      </c>
      <c r="R298" s="94" t="str">
        <f t="shared" si="9"/>
        <v>Before</v>
      </c>
    </row>
    <row r="299" spans="1:18" ht="15.75" customHeight="1" thickTop="1" thickBot="1">
      <c r="A299" s="22" t="s">
        <v>328</v>
      </c>
      <c r="B299" s="7" t="s">
        <v>22</v>
      </c>
      <c r="C299" s="6">
        <v>45838</v>
      </c>
      <c r="D299" s="7" t="s">
        <v>14</v>
      </c>
      <c r="E299" s="5" t="s">
        <v>346</v>
      </c>
      <c r="F299" s="8">
        <v>2275</v>
      </c>
      <c r="G299" s="8">
        <v>285</v>
      </c>
      <c r="H299" s="8">
        <v>125</v>
      </c>
      <c r="I299" s="8">
        <v>43970</v>
      </c>
      <c r="J299" s="4">
        <f t="shared" si="8"/>
        <v>2685</v>
      </c>
      <c r="K299" s="8">
        <v>74761</v>
      </c>
      <c r="L299" s="8">
        <v>83</v>
      </c>
      <c r="M299" s="5" t="s">
        <v>34</v>
      </c>
      <c r="N299" s="5"/>
      <c r="O299" s="5" t="s">
        <v>16</v>
      </c>
      <c r="P299" s="89">
        <f>IFERROR(VLOOKUP(O299,'[1]Campaign Metadata'!A:C,2,FALSE),"")</f>
        <v>45667</v>
      </c>
      <c r="Q299" s="90">
        <f>IFERROR(VLOOKUP(O299,'[1]Campaign Metadata'!A:C,3,FALSE),"")</f>
        <v>45698</v>
      </c>
      <c r="R299" s="94" t="str">
        <f t="shared" si="9"/>
        <v>After</v>
      </c>
    </row>
    <row r="300" spans="1:18" ht="15.75" customHeight="1" thickTop="1" thickBot="1">
      <c r="A300" s="23" t="s">
        <v>329</v>
      </c>
      <c r="B300" s="11" t="s">
        <v>22</v>
      </c>
      <c r="C300" s="10">
        <v>45303</v>
      </c>
      <c r="D300" s="11" t="s">
        <v>23</v>
      </c>
      <c r="E300" s="9" t="s">
        <v>344</v>
      </c>
      <c r="F300" s="12">
        <v>2227</v>
      </c>
      <c r="G300" s="12">
        <v>494</v>
      </c>
      <c r="H300" s="12">
        <v>161</v>
      </c>
      <c r="I300" s="12">
        <v>51651</v>
      </c>
      <c r="J300" s="4">
        <f t="shared" si="8"/>
        <v>2882</v>
      </c>
      <c r="K300" s="12">
        <v>68074</v>
      </c>
      <c r="L300" s="12">
        <v>240</v>
      </c>
      <c r="M300" s="9" t="s">
        <v>19</v>
      </c>
      <c r="N300" s="9" t="s">
        <v>341</v>
      </c>
      <c r="O300" s="9" t="s">
        <v>16</v>
      </c>
      <c r="P300" s="89">
        <f>IFERROR(VLOOKUP(O300,'[1]Campaign Metadata'!A:C,2,FALSE),"")</f>
        <v>45667</v>
      </c>
      <c r="Q300" s="90">
        <f>IFERROR(VLOOKUP(O300,'[1]Campaign Metadata'!A:C,3,FALSE),"")</f>
        <v>45698</v>
      </c>
      <c r="R300" s="94" t="str">
        <f t="shared" si="9"/>
        <v>Before</v>
      </c>
    </row>
    <row r="301" spans="1:18" ht="15.75" customHeight="1" thickTop="1">
      <c r="A301" s="24" t="s">
        <v>330</v>
      </c>
      <c r="B301" s="19" t="s">
        <v>13</v>
      </c>
      <c r="C301" s="18">
        <v>45329</v>
      </c>
      <c r="D301" s="19" t="s">
        <v>14</v>
      </c>
      <c r="E301" s="17" t="s">
        <v>345</v>
      </c>
      <c r="F301" s="20">
        <v>1883</v>
      </c>
      <c r="G301" s="20">
        <v>432</v>
      </c>
      <c r="H301" s="20">
        <v>397</v>
      </c>
      <c r="I301" s="20">
        <v>28759</v>
      </c>
      <c r="J301" s="95">
        <f t="shared" si="8"/>
        <v>2712</v>
      </c>
      <c r="K301" s="20">
        <v>18691</v>
      </c>
      <c r="L301" s="20">
        <v>270</v>
      </c>
      <c r="M301" s="17" t="s">
        <v>37</v>
      </c>
      <c r="N301" s="17" t="s">
        <v>34</v>
      </c>
      <c r="O301" s="17" t="s">
        <v>16</v>
      </c>
      <c r="P301" s="96">
        <f>IFERROR(VLOOKUP(O301,'[1]Campaign Metadata'!A:C,2,FALSE),"")</f>
        <v>45667</v>
      </c>
      <c r="Q301" s="97">
        <f>IFERROR(VLOOKUP(O301,'[1]Campaign Metadata'!A:C,3,FALSE),"")</f>
        <v>45698</v>
      </c>
      <c r="R301" s="98" t="str">
        <f t="shared" si="9"/>
        <v>Before</v>
      </c>
    </row>
    <row r="302" spans="1:18" ht="15.75" customHeight="1"/>
    <row r="303" spans="1:18" ht="15.75" customHeight="1"/>
    <row r="304" spans="1:18"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showGridLines="0" workbookViewId="0">
      <selection activeCell="I10" sqref="I10"/>
    </sheetView>
  </sheetViews>
  <sheetFormatPr defaultColWidth="14.44140625" defaultRowHeight="15" customHeight="1"/>
  <cols>
    <col min="1" max="1" width="17.88671875" style="14" bestFit="1" customWidth="1"/>
    <col min="2" max="2" width="9.6640625" style="14" bestFit="1" customWidth="1"/>
    <col min="3" max="3" width="16.109375" style="16" bestFit="1" customWidth="1"/>
    <col min="4" max="4" width="10.6640625" style="16" bestFit="1" customWidth="1"/>
    <col min="5" max="5" width="16.5546875" style="16" bestFit="1" customWidth="1"/>
    <col min="6" max="6" width="19.109375" style="25" bestFit="1" customWidth="1"/>
    <col min="7" max="7" width="11" style="26" bestFit="1" customWidth="1"/>
    <col min="8" max="8" width="20.77734375" style="14" bestFit="1" customWidth="1"/>
    <col min="9" max="9" width="47" style="71" customWidth="1"/>
    <col min="10" max="26" width="8.6640625" style="14" customWidth="1"/>
    <col min="27" max="16384" width="14.44140625" style="14"/>
  </cols>
  <sheetData>
    <row r="1" spans="1:9" s="13" customFormat="1" thickBot="1">
      <c r="A1" s="33" t="s">
        <v>331</v>
      </c>
      <c r="B1" s="34" t="s">
        <v>1</v>
      </c>
      <c r="C1" s="35" t="s">
        <v>332</v>
      </c>
      <c r="D1" s="35" t="s">
        <v>333</v>
      </c>
      <c r="E1" s="35" t="s">
        <v>334</v>
      </c>
      <c r="F1" s="36" t="s">
        <v>335</v>
      </c>
      <c r="G1" s="37" t="s">
        <v>336</v>
      </c>
      <c r="H1" s="38" t="s">
        <v>349</v>
      </c>
      <c r="I1" s="70" t="s">
        <v>355</v>
      </c>
    </row>
    <row r="2" spans="1:9" ht="15.6" thickTop="1" thickBot="1">
      <c r="A2" s="39">
        <v>45446</v>
      </c>
      <c r="B2" s="40" t="s">
        <v>13</v>
      </c>
      <c r="C2" s="41">
        <v>1402</v>
      </c>
      <c r="D2" s="41">
        <v>68</v>
      </c>
      <c r="E2" s="41">
        <v>124562</v>
      </c>
      <c r="F2" s="42">
        <v>9.92</v>
      </c>
      <c r="G2" s="43">
        <v>23125</v>
      </c>
      <c r="H2" s="44">
        <f>C2-D2</f>
        <v>1334</v>
      </c>
      <c r="I2" s="82">
        <f>CORREL(H2:H201,G2:G201)</f>
        <v>-1.6915989818837338E-2</v>
      </c>
    </row>
    <row r="3" spans="1:9" ht="14.4">
      <c r="A3" s="45">
        <v>45446</v>
      </c>
      <c r="B3" s="46" t="s">
        <v>22</v>
      </c>
      <c r="C3" s="47">
        <v>995</v>
      </c>
      <c r="D3" s="47">
        <v>86</v>
      </c>
      <c r="E3" s="47">
        <v>227958</v>
      </c>
      <c r="F3" s="48">
        <v>8.0500000000000007</v>
      </c>
      <c r="G3" s="49">
        <v>22788</v>
      </c>
      <c r="H3" s="50">
        <f t="shared" ref="H3:H66" si="0">C3-D3</f>
        <v>909</v>
      </c>
    </row>
    <row r="4" spans="1:9" ht="14.4">
      <c r="A4" s="51">
        <v>45446</v>
      </c>
      <c r="B4" s="52" t="s">
        <v>27</v>
      </c>
      <c r="C4" s="53">
        <v>1472</v>
      </c>
      <c r="D4" s="53">
        <v>296</v>
      </c>
      <c r="E4" s="53">
        <v>370242</v>
      </c>
      <c r="F4" s="54">
        <v>7.72</v>
      </c>
      <c r="G4" s="55">
        <v>7810</v>
      </c>
      <c r="H4" s="56">
        <f t="shared" si="0"/>
        <v>1176</v>
      </c>
    </row>
    <row r="5" spans="1:9" ht="14.4">
      <c r="A5" s="45">
        <v>45453</v>
      </c>
      <c r="B5" s="46" t="s">
        <v>13</v>
      </c>
      <c r="C5" s="47">
        <v>1018</v>
      </c>
      <c r="D5" s="47">
        <v>90</v>
      </c>
      <c r="E5" s="47">
        <v>92474</v>
      </c>
      <c r="F5" s="48">
        <v>9.4</v>
      </c>
      <c r="G5" s="49">
        <v>11966</v>
      </c>
      <c r="H5" s="50">
        <f t="shared" si="0"/>
        <v>928</v>
      </c>
    </row>
    <row r="6" spans="1:9" ht="14.4">
      <c r="A6" s="51">
        <v>45453</v>
      </c>
      <c r="B6" s="52" t="s">
        <v>22</v>
      </c>
      <c r="C6" s="53">
        <v>1461</v>
      </c>
      <c r="D6" s="53">
        <v>64</v>
      </c>
      <c r="E6" s="53">
        <v>328902</v>
      </c>
      <c r="F6" s="54">
        <v>9.02</v>
      </c>
      <c r="G6" s="55">
        <v>26298</v>
      </c>
      <c r="H6" s="56">
        <f t="shared" si="0"/>
        <v>1397</v>
      </c>
    </row>
    <row r="7" spans="1:9" ht="14.4">
      <c r="A7" s="45">
        <v>45453</v>
      </c>
      <c r="B7" s="46" t="s">
        <v>27</v>
      </c>
      <c r="C7" s="47">
        <v>545</v>
      </c>
      <c r="D7" s="47">
        <v>93</v>
      </c>
      <c r="E7" s="47">
        <v>391621</v>
      </c>
      <c r="F7" s="48">
        <v>9.9600000000000009</v>
      </c>
      <c r="G7" s="49">
        <v>22029</v>
      </c>
      <c r="H7" s="50">
        <f t="shared" si="0"/>
        <v>452</v>
      </c>
    </row>
    <row r="8" spans="1:9" ht="14.4">
      <c r="A8" s="51">
        <v>45460</v>
      </c>
      <c r="B8" s="52" t="s">
        <v>13</v>
      </c>
      <c r="C8" s="53">
        <v>881</v>
      </c>
      <c r="D8" s="53">
        <v>291</v>
      </c>
      <c r="E8" s="53">
        <v>95885</v>
      </c>
      <c r="F8" s="54">
        <v>5.29</v>
      </c>
      <c r="G8" s="55">
        <v>12391</v>
      </c>
      <c r="H8" s="56">
        <f t="shared" si="0"/>
        <v>590</v>
      </c>
    </row>
    <row r="9" spans="1:9" ht="14.4">
      <c r="A9" s="45">
        <v>45460</v>
      </c>
      <c r="B9" s="46" t="s">
        <v>22</v>
      </c>
      <c r="C9" s="47">
        <v>1414</v>
      </c>
      <c r="D9" s="47">
        <v>131</v>
      </c>
      <c r="E9" s="47">
        <v>245947</v>
      </c>
      <c r="F9" s="48">
        <v>8.3000000000000007</v>
      </c>
      <c r="G9" s="49">
        <v>14477</v>
      </c>
      <c r="H9" s="50">
        <f t="shared" si="0"/>
        <v>1283</v>
      </c>
    </row>
    <row r="10" spans="1:9" ht="14.4">
      <c r="A10" s="51">
        <v>45460</v>
      </c>
      <c r="B10" s="52" t="s">
        <v>27</v>
      </c>
      <c r="C10" s="53">
        <v>1472</v>
      </c>
      <c r="D10" s="53">
        <v>170</v>
      </c>
      <c r="E10" s="53">
        <v>250428</v>
      </c>
      <c r="F10" s="54">
        <v>4.66</v>
      </c>
      <c r="G10" s="55">
        <v>25040</v>
      </c>
      <c r="H10" s="56">
        <f t="shared" si="0"/>
        <v>1302</v>
      </c>
    </row>
    <row r="11" spans="1:9" ht="14.4">
      <c r="A11" s="45">
        <v>45467</v>
      </c>
      <c r="B11" s="46" t="s">
        <v>13</v>
      </c>
      <c r="C11" s="47">
        <v>809</v>
      </c>
      <c r="D11" s="47">
        <v>197</v>
      </c>
      <c r="E11" s="47">
        <v>87186</v>
      </c>
      <c r="F11" s="48">
        <v>9.48</v>
      </c>
      <c r="G11" s="49">
        <v>22619</v>
      </c>
      <c r="H11" s="50">
        <f t="shared" si="0"/>
        <v>612</v>
      </c>
    </row>
    <row r="12" spans="1:9" ht="14.4">
      <c r="A12" s="51">
        <v>45467</v>
      </c>
      <c r="B12" s="52" t="s">
        <v>22</v>
      </c>
      <c r="C12" s="53">
        <v>1371</v>
      </c>
      <c r="D12" s="53">
        <v>250</v>
      </c>
      <c r="E12" s="53">
        <v>128620</v>
      </c>
      <c r="F12" s="54">
        <v>7.11</v>
      </c>
      <c r="G12" s="55">
        <v>12399</v>
      </c>
      <c r="H12" s="56">
        <f t="shared" si="0"/>
        <v>1121</v>
      </c>
    </row>
    <row r="13" spans="1:9" ht="14.4">
      <c r="A13" s="45">
        <v>45467</v>
      </c>
      <c r="B13" s="46" t="s">
        <v>27</v>
      </c>
      <c r="C13" s="47">
        <v>844</v>
      </c>
      <c r="D13" s="47">
        <v>144</v>
      </c>
      <c r="E13" s="47">
        <v>126015</v>
      </c>
      <c r="F13" s="48">
        <v>9.65</v>
      </c>
      <c r="G13" s="49">
        <v>22456</v>
      </c>
      <c r="H13" s="50">
        <f t="shared" si="0"/>
        <v>700</v>
      </c>
    </row>
    <row r="14" spans="1:9" ht="14.4">
      <c r="A14" s="51">
        <v>45474</v>
      </c>
      <c r="B14" s="52" t="s">
        <v>13</v>
      </c>
      <c r="C14" s="53">
        <v>786</v>
      </c>
      <c r="D14" s="53">
        <v>72</v>
      </c>
      <c r="E14" s="53">
        <v>178615</v>
      </c>
      <c r="F14" s="54">
        <v>5.43</v>
      </c>
      <c r="G14" s="55">
        <v>19328</v>
      </c>
      <c r="H14" s="56">
        <f t="shared" si="0"/>
        <v>714</v>
      </c>
    </row>
    <row r="15" spans="1:9" ht="14.4">
      <c r="A15" s="45">
        <v>45474</v>
      </c>
      <c r="B15" s="46" t="s">
        <v>22</v>
      </c>
      <c r="C15" s="47">
        <v>845</v>
      </c>
      <c r="D15" s="47">
        <v>250</v>
      </c>
      <c r="E15" s="47">
        <v>218228</v>
      </c>
      <c r="F15" s="48">
        <v>4.5199999999999996</v>
      </c>
      <c r="G15" s="49">
        <v>21107</v>
      </c>
      <c r="H15" s="50">
        <f t="shared" si="0"/>
        <v>595</v>
      </c>
    </row>
    <row r="16" spans="1:9" ht="14.4">
      <c r="A16" s="51">
        <v>45474</v>
      </c>
      <c r="B16" s="52" t="s">
        <v>27</v>
      </c>
      <c r="C16" s="53">
        <v>1218</v>
      </c>
      <c r="D16" s="53">
        <v>101</v>
      </c>
      <c r="E16" s="53">
        <v>300397</v>
      </c>
      <c r="F16" s="54">
        <v>4.33</v>
      </c>
      <c r="G16" s="55">
        <v>12277</v>
      </c>
      <c r="H16" s="56">
        <f t="shared" si="0"/>
        <v>1117</v>
      </c>
    </row>
    <row r="17" spans="1:8" ht="14.4">
      <c r="A17" s="45">
        <v>45481</v>
      </c>
      <c r="B17" s="46" t="s">
        <v>13</v>
      </c>
      <c r="C17" s="47">
        <v>797</v>
      </c>
      <c r="D17" s="47">
        <v>130</v>
      </c>
      <c r="E17" s="47">
        <v>340121</v>
      </c>
      <c r="F17" s="48">
        <v>8.52</v>
      </c>
      <c r="G17" s="49">
        <v>11684</v>
      </c>
      <c r="H17" s="50">
        <f t="shared" si="0"/>
        <v>667</v>
      </c>
    </row>
    <row r="18" spans="1:8" ht="14.4">
      <c r="A18" s="51">
        <v>45481</v>
      </c>
      <c r="B18" s="52" t="s">
        <v>22</v>
      </c>
      <c r="C18" s="53">
        <v>1471</v>
      </c>
      <c r="D18" s="53">
        <v>100</v>
      </c>
      <c r="E18" s="53">
        <v>76866</v>
      </c>
      <c r="F18" s="54">
        <v>8.5500000000000007</v>
      </c>
      <c r="G18" s="55">
        <v>14412</v>
      </c>
      <c r="H18" s="56">
        <f t="shared" si="0"/>
        <v>1371</v>
      </c>
    </row>
    <row r="19" spans="1:8" ht="14.4">
      <c r="A19" s="45">
        <v>45481</v>
      </c>
      <c r="B19" s="46" t="s">
        <v>27</v>
      </c>
      <c r="C19" s="47">
        <v>1253</v>
      </c>
      <c r="D19" s="47">
        <v>136</v>
      </c>
      <c r="E19" s="47">
        <v>193131</v>
      </c>
      <c r="F19" s="48">
        <v>7.99</v>
      </c>
      <c r="G19" s="49">
        <v>15924</v>
      </c>
      <c r="H19" s="50">
        <f t="shared" si="0"/>
        <v>1117</v>
      </c>
    </row>
    <row r="20" spans="1:8" ht="14.4">
      <c r="A20" s="51">
        <v>45488</v>
      </c>
      <c r="B20" s="52" t="s">
        <v>13</v>
      </c>
      <c r="C20" s="53">
        <v>616</v>
      </c>
      <c r="D20" s="53">
        <v>257</v>
      </c>
      <c r="E20" s="53">
        <v>169665</v>
      </c>
      <c r="F20" s="54">
        <v>6.31</v>
      </c>
      <c r="G20" s="55">
        <v>12390</v>
      </c>
      <c r="H20" s="56">
        <f t="shared" si="0"/>
        <v>359</v>
      </c>
    </row>
    <row r="21" spans="1:8" ht="15.75" customHeight="1">
      <c r="A21" s="45">
        <v>45488</v>
      </c>
      <c r="B21" s="46" t="s">
        <v>22</v>
      </c>
      <c r="C21" s="47">
        <v>1308</v>
      </c>
      <c r="D21" s="47">
        <v>210</v>
      </c>
      <c r="E21" s="47">
        <v>263729</v>
      </c>
      <c r="F21" s="48">
        <v>8.5299999999999994</v>
      </c>
      <c r="G21" s="49">
        <v>25742</v>
      </c>
      <c r="H21" s="50">
        <f t="shared" si="0"/>
        <v>1098</v>
      </c>
    </row>
    <row r="22" spans="1:8" ht="15.75" customHeight="1">
      <c r="A22" s="51">
        <v>45488</v>
      </c>
      <c r="B22" s="52" t="s">
        <v>27</v>
      </c>
      <c r="C22" s="53">
        <v>981</v>
      </c>
      <c r="D22" s="53">
        <v>69</v>
      </c>
      <c r="E22" s="53">
        <v>206921</v>
      </c>
      <c r="F22" s="54">
        <v>8.42</v>
      </c>
      <c r="G22" s="55">
        <v>10495</v>
      </c>
      <c r="H22" s="56">
        <f t="shared" si="0"/>
        <v>912</v>
      </c>
    </row>
    <row r="23" spans="1:8" ht="15.75" customHeight="1">
      <c r="A23" s="45">
        <v>45495</v>
      </c>
      <c r="B23" s="46" t="s">
        <v>13</v>
      </c>
      <c r="C23" s="47">
        <v>866</v>
      </c>
      <c r="D23" s="47">
        <v>74</v>
      </c>
      <c r="E23" s="47">
        <v>204121</v>
      </c>
      <c r="F23" s="48">
        <v>9.34</v>
      </c>
      <c r="G23" s="49">
        <v>7797</v>
      </c>
      <c r="H23" s="50">
        <f t="shared" si="0"/>
        <v>792</v>
      </c>
    </row>
    <row r="24" spans="1:8" ht="15.75" customHeight="1">
      <c r="A24" s="51">
        <v>45495</v>
      </c>
      <c r="B24" s="52" t="s">
        <v>22</v>
      </c>
      <c r="C24" s="53">
        <v>547</v>
      </c>
      <c r="D24" s="53">
        <v>183</v>
      </c>
      <c r="E24" s="53">
        <v>266350</v>
      </c>
      <c r="F24" s="54">
        <v>5.65</v>
      </c>
      <c r="G24" s="55">
        <v>15595</v>
      </c>
      <c r="H24" s="56">
        <f t="shared" si="0"/>
        <v>364</v>
      </c>
    </row>
    <row r="25" spans="1:8" ht="15.75" customHeight="1">
      <c r="A25" s="45">
        <v>45495</v>
      </c>
      <c r="B25" s="46" t="s">
        <v>27</v>
      </c>
      <c r="C25" s="47">
        <v>1241</v>
      </c>
      <c r="D25" s="47">
        <v>116</v>
      </c>
      <c r="E25" s="47">
        <v>380606</v>
      </c>
      <c r="F25" s="48">
        <v>4.2</v>
      </c>
      <c r="G25" s="49">
        <v>24617</v>
      </c>
      <c r="H25" s="50">
        <f t="shared" si="0"/>
        <v>1125</v>
      </c>
    </row>
    <row r="26" spans="1:8" ht="15.75" customHeight="1">
      <c r="A26" s="51">
        <v>45502</v>
      </c>
      <c r="B26" s="52" t="s">
        <v>13</v>
      </c>
      <c r="C26" s="53">
        <v>973</v>
      </c>
      <c r="D26" s="53">
        <v>104</v>
      </c>
      <c r="E26" s="53">
        <v>376358</v>
      </c>
      <c r="F26" s="54">
        <v>3.87</v>
      </c>
      <c r="G26" s="55">
        <v>9847</v>
      </c>
      <c r="H26" s="56">
        <f t="shared" si="0"/>
        <v>869</v>
      </c>
    </row>
    <row r="27" spans="1:8" ht="15.75" customHeight="1">
      <c r="A27" s="45">
        <v>45502</v>
      </c>
      <c r="B27" s="46" t="s">
        <v>22</v>
      </c>
      <c r="C27" s="47">
        <v>611</v>
      </c>
      <c r="D27" s="47">
        <v>197</v>
      </c>
      <c r="E27" s="47">
        <v>79423</v>
      </c>
      <c r="F27" s="48">
        <v>5.82</v>
      </c>
      <c r="G27" s="49">
        <v>13644</v>
      </c>
      <c r="H27" s="50">
        <f t="shared" si="0"/>
        <v>414</v>
      </c>
    </row>
    <row r="28" spans="1:8" ht="15.75" customHeight="1">
      <c r="A28" s="51">
        <v>45502</v>
      </c>
      <c r="B28" s="52" t="s">
        <v>27</v>
      </c>
      <c r="C28" s="53">
        <v>983</v>
      </c>
      <c r="D28" s="53">
        <v>134</v>
      </c>
      <c r="E28" s="53">
        <v>352178</v>
      </c>
      <c r="F28" s="54">
        <v>3.55</v>
      </c>
      <c r="G28" s="55">
        <v>11421</v>
      </c>
      <c r="H28" s="56">
        <f t="shared" si="0"/>
        <v>849</v>
      </c>
    </row>
    <row r="29" spans="1:8" ht="15.75" customHeight="1">
      <c r="A29" s="45">
        <v>45509</v>
      </c>
      <c r="B29" s="46" t="s">
        <v>13</v>
      </c>
      <c r="C29" s="47">
        <v>1449</v>
      </c>
      <c r="D29" s="47">
        <v>96</v>
      </c>
      <c r="E29" s="47">
        <v>200636</v>
      </c>
      <c r="F29" s="48">
        <v>9.92</v>
      </c>
      <c r="G29" s="49">
        <v>15613</v>
      </c>
      <c r="H29" s="50">
        <f t="shared" si="0"/>
        <v>1353</v>
      </c>
    </row>
    <row r="30" spans="1:8" ht="15.75" customHeight="1">
      <c r="A30" s="51">
        <v>45509</v>
      </c>
      <c r="B30" s="52" t="s">
        <v>22</v>
      </c>
      <c r="C30" s="53">
        <v>752</v>
      </c>
      <c r="D30" s="53">
        <v>170</v>
      </c>
      <c r="E30" s="53">
        <v>132756</v>
      </c>
      <c r="F30" s="54">
        <v>8.17</v>
      </c>
      <c r="G30" s="55">
        <v>23900</v>
      </c>
      <c r="H30" s="56">
        <f t="shared" si="0"/>
        <v>582</v>
      </c>
    </row>
    <row r="31" spans="1:8" ht="15.75" customHeight="1">
      <c r="A31" s="45">
        <v>45509</v>
      </c>
      <c r="B31" s="46" t="s">
        <v>27</v>
      </c>
      <c r="C31" s="47">
        <v>937</v>
      </c>
      <c r="D31" s="47">
        <v>179</v>
      </c>
      <c r="E31" s="47">
        <v>318098</v>
      </c>
      <c r="F31" s="48">
        <v>5.3</v>
      </c>
      <c r="G31" s="49">
        <v>5836</v>
      </c>
      <c r="H31" s="50">
        <f t="shared" si="0"/>
        <v>758</v>
      </c>
    </row>
    <row r="32" spans="1:8" ht="15.75" customHeight="1">
      <c r="A32" s="51">
        <v>45516</v>
      </c>
      <c r="B32" s="52" t="s">
        <v>13</v>
      </c>
      <c r="C32" s="53">
        <v>1060</v>
      </c>
      <c r="D32" s="53">
        <v>83</v>
      </c>
      <c r="E32" s="53">
        <v>68724</v>
      </c>
      <c r="F32" s="54">
        <v>5.98</v>
      </c>
      <c r="G32" s="55">
        <v>5624</v>
      </c>
      <c r="H32" s="56">
        <f t="shared" si="0"/>
        <v>977</v>
      </c>
    </row>
    <row r="33" spans="1:8" ht="15.75" customHeight="1">
      <c r="A33" s="45">
        <v>45516</v>
      </c>
      <c r="B33" s="46" t="s">
        <v>22</v>
      </c>
      <c r="C33" s="47">
        <v>1456</v>
      </c>
      <c r="D33" s="47">
        <v>265</v>
      </c>
      <c r="E33" s="47">
        <v>115505</v>
      </c>
      <c r="F33" s="48">
        <v>7.49</v>
      </c>
      <c r="G33" s="49">
        <v>10311</v>
      </c>
      <c r="H33" s="50">
        <f t="shared" si="0"/>
        <v>1191</v>
      </c>
    </row>
    <row r="34" spans="1:8" ht="15.75" customHeight="1">
      <c r="A34" s="51">
        <v>45516</v>
      </c>
      <c r="B34" s="52" t="s">
        <v>27</v>
      </c>
      <c r="C34" s="53">
        <v>1109</v>
      </c>
      <c r="D34" s="53">
        <v>205</v>
      </c>
      <c r="E34" s="53">
        <v>276722</v>
      </c>
      <c r="F34" s="54">
        <v>9.3800000000000008</v>
      </c>
      <c r="G34" s="55">
        <v>8274</v>
      </c>
      <c r="H34" s="56">
        <f t="shared" si="0"/>
        <v>904</v>
      </c>
    </row>
    <row r="35" spans="1:8" ht="15.75" customHeight="1">
      <c r="A35" s="45">
        <v>45523</v>
      </c>
      <c r="B35" s="46" t="s">
        <v>13</v>
      </c>
      <c r="C35" s="47">
        <v>1002</v>
      </c>
      <c r="D35" s="47">
        <v>93</v>
      </c>
      <c r="E35" s="47">
        <v>353538</v>
      </c>
      <c r="F35" s="48">
        <v>5.84</v>
      </c>
      <c r="G35" s="49">
        <v>6031</v>
      </c>
      <c r="H35" s="50">
        <f t="shared" si="0"/>
        <v>909</v>
      </c>
    </row>
    <row r="36" spans="1:8" ht="15.75" customHeight="1">
      <c r="A36" s="51">
        <v>45523</v>
      </c>
      <c r="B36" s="52" t="s">
        <v>22</v>
      </c>
      <c r="C36" s="53">
        <v>571</v>
      </c>
      <c r="D36" s="53">
        <v>189</v>
      </c>
      <c r="E36" s="53">
        <v>61445</v>
      </c>
      <c r="F36" s="54">
        <v>5.41</v>
      </c>
      <c r="G36" s="55">
        <v>27829</v>
      </c>
      <c r="H36" s="56">
        <f t="shared" si="0"/>
        <v>382</v>
      </c>
    </row>
    <row r="37" spans="1:8" ht="15.75" customHeight="1">
      <c r="A37" s="45">
        <v>45523</v>
      </c>
      <c r="B37" s="46" t="s">
        <v>27</v>
      </c>
      <c r="C37" s="47">
        <v>1240</v>
      </c>
      <c r="D37" s="47">
        <v>231</v>
      </c>
      <c r="E37" s="47">
        <v>165035</v>
      </c>
      <c r="F37" s="48">
        <v>6.05</v>
      </c>
      <c r="G37" s="49">
        <v>18267</v>
      </c>
      <c r="H37" s="50">
        <f t="shared" si="0"/>
        <v>1009</v>
      </c>
    </row>
    <row r="38" spans="1:8" ht="15.75" customHeight="1">
      <c r="A38" s="51">
        <v>45530</v>
      </c>
      <c r="B38" s="52" t="s">
        <v>13</v>
      </c>
      <c r="C38" s="53">
        <v>1154</v>
      </c>
      <c r="D38" s="53">
        <v>132</v>
      </c>
      <c r="E38" s="53">
        <v>194595</v>
      </c>
      <c r="F38" s="54">
        <v>7.54</v>
      </c>
      <c r="G38" s="55">
        <v>26624</v>
      </c>
      <c r="H38" s="56">
        <f t="shared" si="0"/>
        <v>1022</v>
      </c>
    </row>
    <row r="39" spans="1:8" ht="15.75" customHeight="1">
      <c r="A39" s="45">
        <v>45530</v>
      </c>
      <c r="B39" s="46" t="s">
        <v>22</v>
      </c>
      <c r="C39" s="47">
        <v>537</v>
      </c>
      <c r="D39" s="47">
        <v>275</v>
      </c>
      <c r="E39" s="47">
        <v>236238</v>
      </c>
      <c r="F39" s="48">
        <v>5.87</v>
      </c>
      <c r="G39" s="49">
        <v>26644</v>
      </c>
      <c r="H39" s="50">
        <f t="shared" si="0"/>
        <v>262</v>
      </c>
    </row>
    <row r="40" spans="1:8" ht="15.75" customHeight="1">
      <c r="A40" s="51">
        <v>45530</v>
      </c>
      <c r="B40" s="52" t="s">
        <v>27</v>
      </c>
      <c r="C40" s="53">
        <v>1456</v>
      </c>
      <c r="D40" s="53">
        <v>290</v>
      </c>
      <c r="E40" s="53">
        <v>271044</v>
      </c>
      <c r="F40" s="54">
        <v>7.17</v>
      </c>
      <c r="G40" s="55">
        <v>13051</v>
      </c>
      <c r="H40" s="56">
        <f t="shared" si="0"/>
        <v>1166</v>
      </c>
    </row>
    <row r="41" spans="1:8" ht="15.75" customHeight="1">
      <c r="A41" s="45">
        <v>45537</v>
      </c>
      <c r="B41" s="46" t="s">
        <v>13</v>
      </c>
      <c r="C41" s="47">
        <v>721</v>
      </c>
      <c r="D41" s="47">
        <v>206</v>
      </c>
      <c r="E41" s="47">
        <v>334887</v>
      </c>
      <c r="F41" s="48">
        <v>6.05</v>
      </c>
      <c r="G41" s="49">
        <v>14217</v>
      </c>
      <c r="H41" s="50">
        <f t="shared" si="0"/>
        <v>515</v>
      </c>
    </row>
    <row r="42" spans="1:8" ht="15.75" customHeight="1">
      <c r="A42" s="51">
        <v>45537</v>
      </c>
      <c r="B42" s="52" t="s">
        <v>22</v>
      </c>
      <c r="C42" s="53">
        <v>1098</v>
      </c>
      <c r="D42" s="53">
        <v>142</v>
      </c>
      <c r="E42" s="53">
        <v>359150</v>
      </c>
      <c r="F42" s="54">
        <v>7.51</v>
      </c>
      <c r="G42" s="55">
        <v>16385</v>
      </c>
      <c r="H42" s="56">
        <f t="shared" si="0"/>
        <v>956</v>
      </c>
    </row>
    <row r="43" spans="1:8" ht="15.75" customHeight="1">
      <c r="A43" s="45">
        <v>45537</v>
      </c>
      <c r="B43" s="46" t="s">
        <v>27</v>
      </c>
      <c r="C43" s="47">
        <v>1096</v>
      </c>
      <c r="D43" s="47">
        <v>65</v>
      </c>
      <c r="E43" s="47">
        <v>358295</v>
      </c>
      <c r="F43" s="48">
        <v>7.66</v>
      </c>
      <c r="G43" s="49">
        <v>24548</v>
      </c>
      <c r="H43" s="50">
        <f t="shared" si="0"/>
        <v>1031</v>
      </c>
    </row>
    <row r="44" spans="1:8" ht="15.75" customHeight="1">
      <c r="A44" s="51">
        <v>45544</v>
      </c>
      <c r="B44" s="52" t="s">
        <v>13</v>
      </c>
      <c r="C44" s="53">
        <v>912</v>
      </c>
      <c r="D44" s="53">
        <v>275</v>
      </c>
      <c r="E44" s="53">
        <v>368454</v>
      </c>
      <c r="F44" s="54">
        <v>6.03</v>
      </c>
      <c r="G44" s="55">
        <v>9195</v>
      </c>
      <c r="H44" s="56">
        <f t="shared" si="0"/>
        <v>637</v>
      </c>
    </row>
    <row r="45" spans="1:8" ht="15.75" customHeight="1">
      <c r="A45" s="45">
        <v>45544</v>
      </c>
      <c r="B45" s="46" t="s">
        <v>22</v>
      </c>
      <c r="C45" s="47">
        <v>1430</v>
      </c>
      <c r="D45" s="47">
        <v>162</v>
      </c>
      <c r="E45" s="47">
        <v>269082</v>
      </c>
      <c r="F45" s="48">
        <v>3.4</v>
      </c>
      <c r="G45" s="49">
        <v>18071</v>
      </c>
      <c r="H45" s="50">
        <f t="shared" si="0"/>
        <v>1268</v>
      </c>
    </row>
    <row r="46" spans="1:8" ht="15.75" customHeight="1">
      <c r="A46" s="51">
        <v>45544</v>
      </c>
      <c r="B46" s="52" t="s">
        <v>27</v>
      </c>
      <c r="C46" s="53">
        <v>854</v>
      </c>
      <c r="D46" s="53">
        <v>129</v>
      </c>
      <c r="E46" s="53">
        <v>310903</v>
      </c>
      <c r="F46" s="54">
        <v>7.83</v>
      </c>
      <c r="G46" s="55">
        <v>16875</v>
      </c>
      <c r="H46" s="56">
        <f t="shared" si="0"/>
        <v>725</v>
      </c>
    </row>
    <row r="47" spans="1:8" ht="15.75" customHeight="1">
      <c r="A47" s="45">
        <v>45551</v>
      </c>
      <c r="B47" s="46" t="s">
        <v>13</v>
      </c>
      <c r="C47" s="47">
        <v>681</v>
      </c>
      <c r="D47" s="47">
        <v>210</v>
      </c>
      <c r="E47" s="47">
        <v>248581</v>
      </c>
      <c r="F47" s="48">
        <v>8.76</v>
      </c>
      <c r="G47" s="49">
        <v>9567</v>
      </c>
      <c r="H47" s="50">
        <f t="shared" si="0"/>
        <v>471</v>
      </c>
    </row>
    <row r="48" spans="1:8" ht="15.75" customHeight="1">
      <c r="A48" s="51">
        <v>45551</v>
      </c>
      <c r="B48" s="52" t="s">
        <v>22</v>
      </c>
      <c r="C48" s="53">
        <v>1373</v>
      </c>
      <c r="D48" s="53">
        <v>82</v>
      </c>
      <c r="E48" s="53">
        <v>371015</v>
      </c>
      <c r="F48" s="54">
        <v>9.52</v>
      </c>
      <c r="G48" s="55">
        <v>20306</v>
      </c>
      <c r="H48" s="56">
        <f t="shared" si="0"/>
        <v>1291</v>
      </c>
    </row>
    <row r="49" spans="1:8" ht="15.75" customHeight="1">
      <c r="A49" s="45">
        <v>45551</v>
      </c>
      <c r="B49" s="46" t="s">
        <v>27</v>
      </c>
      <c r="C49" s="47">
        <v>685</v>
      </c>
      <c r="D49" s="47">
        <v>285</v>
      </c>
      <c r="E49" s="47">
        <v>177452</v>
      </c>
      <c r="F49" s="48">
        <v>3.36</v>
      </c>
      <c r="G49" s="49">
        <v>21134</v>
      </c>
      <c r="H49" s="50">
        <f t="shared" si="0"/>
        <v>400</v>
      </c>
    </row>
    <row r="50" spans="1:8" ht="15.75" customHeight="1">
      <c r="A50" s="51">
        <v>45558</v>
      </c>
      <c r="B50" s="52" t="s">
        <v>13</v>
      </c>
      <c r="C50" s="53">
        <v>1290</v>
      </c>
      <c r="D50" s="53">
        <v>177</v>
      </c>
      <c r="E50" s="53">
        <v>80745</v>
      </c>
      <c r="F50" s="54">
        <v>9.2200000000000006</v>
      </c>
      <c r="G50" s="55">
        <v>26872</v>
      </c>
      <c r="H50" s="56">
        <f t="shared" si="0"/>
        <v>1113</v>
      </c>
    </row>
    <row r="51" spans="1:8" ht="15.75" customHeight="1">
      <c r="A51" s="45">
        <v>45558</v>
      </c>
      <c r="B51" s="46" t="s">
        <v>22</v>
      </c>
      <c r="C51" s="47">
        <v>1437</v>
      </c>
      <c r="D51" s="47">
        <v>239</v>
      </c>
      <c r="E51" s="47">
        <v>362441</v>
      </c>
      <c r="F51" s="48">
        <v>5.57</v>
      </c>
      <c r="G51" s="49">
        <v>10253</v>
      </c>
      <c r="H51" s="50">
        <f t="shared" si="0"/>
        <v>1198</v>
      </c>
    </row>
    <row r="52" spans="1:8" ht="15.75" customHeight="1">
      <c r="A52" s="51">
        <v>45558</v>
      </c>
      <c r="B52" s="52" t="s">
        <v>27</v>
      </c>
      <c r="C52" s="53">
        <v>769</v>
      </c>
      <c r="D52" s="53">
        <v>295</v>
      </c>
      <c r="E52" s="53">
        <v>344771</v>
      </c>
      <c r="F52" s="54">
        <v>8.06</v>
      </c>
      <c r="G52" s="55">
        <v>23963</v>
      </c>
      <c r="H52" s="56">
        <f t="shared" si="0"/>
        <v>474</v>
      </c>
    </row>
    <row r="53" spans="1:8" ht="15.75" customHeight="1">
      <c r="A53" s="45">
        <v>45565</v>
      </c>
      <c r="B53" s="46" t="s">
        <v>13</v>
      </c>
      <c r="C53" s="47">
        <v>1416</v>
      </c>
      <c r="D53" s="47">
        <v>284</v>
      </c>
      <c r="E53" s="47">
        <v>374952</v>
      </c>
      <c r="F53" s="48">
        <v>3.45</v>
      </c>
      <c r="G53" s="49">
        <v>11335</v>
      </c>
      <c r="H53" s="50">
        <f t="shared" si="0"/>
        <v>1132</v>
      </c>
    </row>
    <row r="54" spans="1:8" ht="15.75" customHeight="1">
      <c r="A54" s="51">
        <v>45565</v>
      </c>
      <c r="B54" s="52" t="s">
        <v>22</v>
      </c>
      <c r="C54" s="53">
        <v>998</v>
      </c>
      <c r="D54" s="53">
        <v>154</v>
      </c>
      <c r="E54" s="53">
        <v>179781</v>
      </c>
      <c r="F54" s="54">
        <v>9.58</v>
      </c>
      <c r="G54" s="55">
        <v>12115</v>
      </c>
      <c r="H54" s="56">
        <f t="shared" si="0"/>
        <v>844</v>
      </c>
    </row>
    <row r="55" spans="1:8" ht="15.75" customHeight="1">
      <c r="A55" s="45">
        <v>45565</v>
      </c>
      <c r="B55" s="46" t="s">
        <v>27</v>
      </c>
      <c r="C55" s="47">
        <v>1421</v>
      </c>
      <c r="D55" s="47">
        <v>246</v>
      </c>
      <c r="E55" s="47">
        <v>358581</v>
      </c>
      <c r="F55" s="48">
        <v>8.8800000000000008</v>
      </c>
      <c r="G55" s="49">
        <v>24358</v>
      </c>
      <c r="H55" s="50">
        <f t="shared" si="0"/>
        <v>1175</v>
      </c>
    </row>
    <row r="56" spans="1:8" ht="15.75" customHeight="1">
      <c r="A56" s="51">
        <v>45572</v>
      </c>
      <c r="B56" s="52" t="s">
        <v>13</v>
      </c>
      <c r="C56" s="53">
        <v>764</v>
      </c>
      <c r="D56" s="53">
        <v>205</v>
      </c>
      <c r="E56" s="53">
        <v>319294</v>
      </c>
      <c r="F56" s="54">
        <v>6.23</v>
      </c>
      <c r="G56" s="55">
        <v>12181</v>
      </c>
      <c r="H56" s="56">
        <f t="shared" si="0"/>
        <v>559</v>
      </c>
    </row>
    <row r="57" spans="1:8" ht="15.75" customHeight="1">
      <c r="A57" s="45">
        <v>45572</v>
      </c>
      <c r="B57" s="46" t="s">
        <v>22</v>
      </c>
      <c r="C57" s="47">
        <v>678</v>
      </c>
      <c r="D57" s="47">
        <v>124</v>
      </c>
      <c r="E57" s="47">
        <v>192022</v>
      </c>
      <c r="F57" s="48">
        <v>8.4499999999999993</v>
      </c>
      <c r="G57" s="49">
        <v>17729</v>
      </c>
      <c r="H57" s="50">
        <f t="shared" si="0"/>
        <v>554</v>
      </c>
    </row>
    <row r="58" spans="1:8" ht="15.75" customHeight="1">
      <c r="A58" s="51">
        <v>45572</v>
      </c>
      <c r="B58" s="52" t="s">
        <v>27</v>
      </c>
      <c r="C58" s="53">
        <v>1328</v>
      </c>
      <c r="D58" s="53">
        <v>103</v>
      </c>
      <c r="E58" s="53">
        <v>151462</v>
      </c>
      <c r="F58" s="54">
        <v>8.4</v>
      </c>
      <c r="G58" s="55">
        <v>10881</v>
      </c>
      <c r="H58" s="56">
        <f t="shared" si="0"/>
        <v>1225</v>
      </c>
    </row>
    <row r="59" spans="1:8" ht="15.75" customHeight="1">
      <c r="A59" s="45">
        <v>45579</v>
      </c>
      <c r="B59" s="46" t="s">
        <v>13</v>
      </c>
      <c r="C59" s="47">
        <v>1161</v>
      </c>
      <c r="D59" s="47">
        <v>269</v>
      </c>
      <c r="E59" s="47">
        <v>188193</v>
      </c>
      <c r="F59" s="48">
        <v>7.34</v>
      </c>
      <c r="G59" s="49">
        <v>18576</v>
      </c>
      <c r="H59" s="50">
        <f t="shared" si="0"/>
        <v>892</v>
      </c>
    </row>
    <row r="60" spans="1:8" ht="15.75" customHeight="1">
      <c r="A60" s="51">
        <v>45579</v>
      </c>
      <c r="B60" s="52" t="s">
        <v>22</v>
      </c>
      <c r="C60" s="53">
        <v>588</v>
      </c>
      <c r="D60" s="53">
        <v>52</v>
      </c>
      <c r="E60" s="53">
        <v>292040</v>
      </c>
      <c r="F60" s="54">
        <v>8.14</v>
      </c>
      <c r="G60" s="55">
        <v>9383</v>
      </c>
      <c r="H60" s="56">
        <f t="shared" si="0"/>
        <v>536</v>
      </c>
    </row>
    <row r="61" spans="1:8" ht="15.75" customHeight="1">
      <c r="A61" s="45">
        <v>45579</v>
      </c>
      <c r="B61" s="46" t="s">
        <v>27</v>
      </c>
      <c r="C61" s="47">
        <v>1457</v>
      </c>
      <c r="D61" s="47">
        <v>215</v>
      </c>
      <c r="E61" s="47">
        <v>325325</v>
      </c>
      <c r="F61" s="48">
        <v>9.58</v>
      </c>
      <c r="G61" s="49">
        <v>14178</v>
      </c>
      <c r="H61" s="50">
        <f t="shared" si="0"/>
        <v>1242</v>
      </c>
    </row>
    <row r="62" spans="1:8" ht="15.75" customHeight="1">
      <c r="A62" s="51">
        <v>45586</v>
      </c>
      <c r="B62" s="52" t="s">
        <v>13</v>
      </c>
      <c r="C62" s="53">
        <v>1190</v>
      </c>
      <c r="D62" s="53">
        <v>242</v>
      </c>
      <c r="E62" s="53">
        <v>86849</v>
      </c>
      <c r="F62" s="54">
        <v>8.06</v>
      </c>
      <c r="G62" s="55">
        <v>21254</v>
      </c>
      <c r="H62" s="56">
        <f t="shared" si="0"/>
        <v>948</v>
      </c>
    </row>
    <row r="63" spans="1:8" ht="15.75" customHeight="1">
      <c r="A63" s="45">
        <v>45586</v>
      </c>
      <c r="B63" s="46" t="s">
        <v>22</v>
      </c>
      <c r="C63" s="47">
        <v>886</v>
      </c>
      <c r="D63" s="47">
        <v>124</v>
      </c>
      <c r="E63" s="47">
        <v>141161</v>
      </c>
      <c r="F63" s="48">
        <v>8.19</v>
      </c>
      <c r="G63" s="49">
        <v>14215</v>
      </c>
      <c r="H63" s="50">
        <f t="shared" si="0"/>
        <v>762</v>
      </c>
    </row>
    <row r="64" spans="1:8" ht="15.75" customHeight="1">
      <c r="A64" s="51">
        <v>45586</v>
      </c>
      <c r="B64" s="52" t="s">
        <v>27</v>
      </c>
      <c r="C64" s="53">
        <v>1237</v>
      </c>
      <c r="D64" s="53">
        <v>155</v>
      </c>
      <c r="E64" s="53">
        <v>149916</v>
      </c>
      <c r="F64" s="54">
        <v>4.4800000000000004</v>
      </c>
      <c r="G64" s="55">
        <v>16921</v>
      </c>
      <c r="H64" s="56">
        <f t="shared" si="0"/>
        <v>1082</v>
      </c>
    </row>
    <row r="65" spans="1:8" ht="15.75" customHeight="1">
      <c r="A65" s="45">
        <v>45593</v>
      </c>
      <c r="B65" s="46" t="s">
        <v>13</v>
      </c>
      <c r="C65" s="47">
        <v>1435</v>
      </c>
      <c r="D65" s="47">
        <v>261</v>
      </c>
      <c r="E65" s="47">
        <v>308533</v>
      </c>
      <c r="F65" s="48">
        <v>4.5199999999999996</v>
      </c>
      <c r="G65" s="49">
        <v>25130</v>
      </c>
      <c r="H65" s="50">
        <f t="shared" si="0"/>
        <v>1174</v>
      </c>
    </row>
    <row r="66" spans="1:8" ht="15.75" customHeight="1">
      <c r="A66" s="51">
        <v>45593</v>
      </c>
      <c r="B66" s="52" t="s">
        <v>22</v>
      </c>
      <c r="C66" s="53">
        <v>746</v>
      </c>
      <c r="D66" s="53">
        <v>282</v>
      </c>
      <c r="E66" s="53">
        <v>293894</v>
      </c>
      <c r="F66" s="54">
        <v>5.42</v>
      </c>
      <c r="G66" s="55">
        <v>25537</v>
      </c>
      <c r="H66" s="56">
        <f t="shared" si="0"/>
        <v>464</v>
      </c>
    </row>
    <row r="67" spans="1:8" ht="15.75" customHeight="1">
      <c r="A67" s="45">
        <v>45593</v>
      </c>
      <c r="B67" s="46" t="s">
        <v>27</v>
      </c>
      <c r="C67" s="47">
        <v>759</v>
      </c>
      <c r="D67" s="47">
        <v>216</v>
      </c>
      <c r="E67" s="47">
        <v>147656</v>
      </c>
      <c r="F67" s="48">
        <v>4.08</v>
      </c>
      <c r="G67" s="49">
        <v>24943</v>
      </c>
      <c r="H67" s="50">
        <f t="shared" ref="H67:H130" si="1">C67-D67</f>
        <v>543</v>
      </c>
    </row>
    <row r="68" spans="1:8" ht="15.75" customHeight="1">
      <c r="A68" s="51">
        <v>45600</v>
      </c>
      <c r="B68" s="52" t="s">
        <v>13</v>
      </c>
      <c r="C68" s="53">
        <v>1437</v>
      </c>
      <c r="D68" s="53">
        <v>235</v>
      </c>
      <c r="E68" s="53">
        <v>326791</v>
      </c>
      <c r="F68" s="54">
        <v>4.0599999999999996</v>
      </c>
      <c r="G68" s="55">
        <v>14563</v>
      </c>
      <c r="H68" s="56">
        <f t="shared" si="1"/>
        <v>1202</v>
      </c>
    </row>
    <row r="69" spans="1:8" ht="15.75" customHeight="1">
      <c r="A69" s="45">
        <v>45600</v>
      </c>
      <c r="B69" s="46" t="s">
        <v>22</v>
      </c>
      <c r="C69" s="47">
        <v>1463</v>
      </c>
      <c r="D69" s="47">
        <v>73</v>
      </c>
      <c r="E69" s="47">
        <v>348877</v>
      </c>
      <c r="F69" s="48">
        <v>9.91</v>
      </c>
      <c r="G69" s="49">
        <v>26273</v>
      </c>
      <c r="H69" s="50">
        <f t="shared" si="1"/>
        <v>1390</v>
      </c>
    </row>
    <row r="70" spans="1:8" ht="15.75" customHeight="1">
      <c r="A70" s="51">
        <v>45600</v>
      </c>
      <c r="B70" s="52" t="s">
        <v>27</v>
      </c>
      <c r="C70" s="53">
        <v>1208</v>
      </c>
      <c r="D70" s="53">
        <v>224</v>
      </c>
      <c r="E70" s="53">
        <v>122730</v>
      </c>
      <c r="F70" s="54">
        <v>8.7200000000000006</v>
      </c>
      <c r="G70" s="55">
        <v>10858</v>
      </c>
      <c r="H70" s="56">
        <f t="shared" si="1"/>
        <v>984</v>
      </c>
    </row>
    <row r="71" spans="1:8" ht="15.75" customHeight="1">
      <c r="A71" s="45">
        <v>45607</v>
      </c>
      <c r="B71" s="46" t="s">
        <v>13</v>
      </c>
      <c r="C71" s="47">
        <v>1391</v>
      </c>
      <c r="D71" s="47">
        <v>187</v>
      </c>
      <c r="E71" s="47">
        <v>306508</v>
      </c>
      <c r="F71" s="48">
        <v>8.3800000000000008</v>
      </c>
      <c r="G71" s="49">
        <v>25038</v>
      </c>
      <c r="H71" s="50">
        <f t="shared" si="1"/>
        <v>1204</v>
      </c>
    </row>
    <row r="72" spans="1:8" ht="15.75" customHeight="1">
      <c r="A72" s="51">
        <v>45607</v>
      </c>
      <c r="B72" s="52" t="s">
        <v>22</v>
      </c>
      <c r="C72" s="53">
        <v>655</v>
      </c>
      <c r="D72" s="53">
        <v>123</v>
      </c>
      <c r="E72" s="53">
        <v>202472</v>
      </c>
      <c r="F72" s="54">
        <v>7.56</v>
      </c>
      <c r="G72" s="55">
        <v>9092</v>
      </c>
      <c r="H72" s="56">
        <f t="shared" si="1"/>
        <v>532</v>
      </c>
    </row>
    <row r="73" spans="1:8" ht="15.75" customHeight="1">
      <c r="A73" s="45">
        <v>45607</v>
      </c>
      <c r="B73" s="46" t="s">
        <v>27</v>
      </c>
      <c r="C73" s="47">
        <v>1148</v>
      </c>
      <c r="D73" s="47">
        <v>90</v>
      </c>
      <c r="E73" s="47">
        <v>227249</v>
      </c>
      <c r="F73" s="48">
        <v>7.24</v>
      </c>
      <c r="G73" s="49">
        <v>17662</v>
      </c>
      <c r="H73" s="50">
        <f t="shared" si="1"/>
        <v>1058</v>
      </c>
    </row>
    <row r="74" spans="1:8" ht="15.75" customHeight="1">
      <c r="A74" s="51">
        <v>45614</v>
      </c>
      <c r="B74" s="52" t="s">
        <v>13</v>
      </c>
      <c r="C74" s="53">
        <v>946</v>
      </c>
      <c r="D74" s="53">
        <v>270</v>
      </c>
      <c r="E74" s="53">
        <v>246567</v>
      </c>
      <c r="F74" s="54">
        <v>4.53</v>
      </c>
      <c r="G74" s="55">
        <v>5924</v>
      </c>
      <c r="H74" s="56">
        <f t="shared" si="1"/>
        <v>676</v>
      </c>
    </row>
    <row r="75" spans="1:8" ht="15.75" customHeight="1">
      <c r="A75" s="45">
        <v>45614</v>
      </c>
      <c r="B75" s="46" t="s">
        <v>22</v>
      </c>
      <c r="C75" s="47">
        <v>791</v>
      </c>
      <c r="D75" s="47">
        <v>214</v>
      </c>
      <c r="E75" s="47">
        <v>114738</v>
      </c>
      <c r="F75" s="48">
        <v>6.62</v>
      </c>
      <c r="G75" s="49">
        <v>25347</v>
      </c>
      <c r="H75" s="50">
        <f t="shared" si="1"/>
        <v>577</v>
      </c>
    </row>
    <row r="76" spans="1:8" ht="15.75" customHeight="1">
      <c r="A76" s="51">
        <v>45614</v>
      </c>
      <c r="B76" s="52" t="s">
        <v>27</v>
      </c>
      <c r="C76" s="53">
        <v>793</v>
      </c>
      <c r="D76" s="53">
        <v>111</v>
      </c>
      <c r="E76" s="53">
        <v>333500</v>
      </c>
      <c r="F76" s="54">
        <v>6.36</v>
      </c>
      <c r="G76" s="55">
        <v>8910</v>
      </c>
      <c r="H76" s="56">
        <f t="shared" si="1"/>
        <v>682</v>
      </c>
    </row>
    <row r="77" spans="1:8" ht="15.75" customHeight="1">
      <c r="A77" s="45">
        <v>45621</v>
      </c>
      <c r="B77" s="46" t="s">
        <v>13</v>
      </c>
      <c r="C77" s="47">
        <v>663</v>
      </c>
      <c r="D77" s="47">
        <v>213</v>
      </c>
      <c r="E77" s="47">
        <v>352677</v>
      </c>
      <c r="F77" s="48">
        <v>9</v>
      </c>
      <c r="G77" s="49">
        <v>20438</v>
      </c>
      <c r="H77" s="50">
        <f t="shared" si="1"/>
        <v>450</v>
      </c>
    </row>
    <row r="78" spans="1:8" ht="15.75" customHeight="1">
      <c r="A78" s="51">
        <v>45621</v>
      </c>
      <c r="B78" s="52" t="s">
        <v>22</v>
      </c>
      <c r="C78" s="53">
        <v>954</v>
      </c>
      <c r="D78" s="53">
        <v>271</v>
      </c>
      <c r="E78" s="53">
        <v>160936</v>
      </c>
      <c r="F78" s="54">
        <v>8.83</v>
      </c>
      <c r="G78" s="55">
        <v>8760</v>
      </c>
      <c r="H78" s="56">
        <f t="shared" si="1"/>
        <v>683</v>
      </c>
    </row>
    <row r="79" spans="1:8" ht="15.75" customHeight="1">
      <c r="A79" s="45">
        <v>45621</v>
      </c>
      <c r="B79" s="46" t="s">
        <v>27</v>
      </c>
      <c r="C79" s="47">
        <v>1313</v>
      </c>
      <c r="D79" s="47">
        <v>159</v>
      </c>
      <c r="E79" s="47">
        <v>197183</v>
      </c>
      <c r="F79" s="48">
        <v>9.7100000000000009</v>
      </c>
      <c r="G79" s="49">
        <v>6625</v>
      </c>
      <c r="H79" s="50">
        <f t="shared" si="1"/>
        <v>1154</v>
      </c>
    </row>
    <row r="80" spans="1:8" ht="15.75" customHeight="1">
      <c r="A80" s="51">
        <v>45628</v>
      </c>
      <c r="B80" s="52" t="s">
        <v>13</v>
      </c>
      <c r="C80" s="53">
        <v>895</v>
      </c>
      <c r="D80" s="53">
        <v>87</v>
      </c>
      <c r="E80" s="53">
        <v>171271</v>
      </c>
      <c r="F80" s="54">
        <v>6.68</v>
      </c>
      <c r="G80" s="55">
        <v>23329</v>
      </c>
      <c r="H80" s="56">
        <f t="shared" si="1"/>
        <v>808</v>
      </c>
    </row>
    <row r="81" spans="1:8" ht="15.75" customHeight="1">
      <c r="A81" s="45">
        <v>45628</v>
      </c>
      <c r="B81" s="46" t="s">
        <v>22</v>
      </c>
      <c r="C81" s="47">
        <v>1027</v>
      </c>
      <c r="D81" s="47">
        <v>156</v>
      </c>
      <c r="E81" s="47">
        <v>111293</v>
      </c>
      <c r="F81" s="48">
        <v>5.51</v>
      </c>
      <c r="G81" s="49">
        <v>7299</v>
      </c>
      <c r="H81" s="50">
        <f t="shared" si="1"/>
        <v>871</v>
      </c>
    </row>
    <row r="82" spans="1:8" ht="15.75" customHeight="1">
      <c r="A82" s="51">
        <v>45628</v>
      </c>
      <c r="B82" s="52" t="s">
        <v>27</v>
      </c>
      <c r="C82" s="53">
        <v>990</v>
      </c>
      <c r="D82" s="53">
        <v>286</v>
      </c>
      <c r="E82" s="53">
        <v>351493</v>
      </c>
      <c r="F82" s="54">
        <v>7.97</v>
      </c>
      <c r="G82" s="55">
        <v>14496</v>
      </c>
      <c r="H82" s="56">
        <f t="shared" si="1"/>
        <v>704</v>
      </c>
    </row>
    <row r="83" spans="1:8" ht="15.75" customHeight="1">
      <c r="A83" s="45">
        <v>45635</v>
      </c>
      <c r="B83" s="46" t="s">
        <v>13</v>
      </c>
      <c r="C83" s="47">
        <v>875</v>
      </c>
      <c r="D83" s="47">
        <v>264</v>
      </c>
      <c r="E83" s="47">
        <v>345631</v>
      </c>
      <c r="F83" s="48">
        <v>9.18</v>
      </c>
      <c r="G83" s="49">
        <v>25703</v>
      </c>
      <c r="H83" s="50">
        <f t="shared" si="1"/>
        <v>611</v>
      </c>
    </row>
    <row r="84" spans="1:8" ht="15.75" customHeight="1">
      <c r="A84" s="51">
        <v>45635</v>
      </c>
      <c r="B84" s="52" t="s">
        <v>22</v>
      </c>
      <c r="C84" s="53">
        <v>599</v>
      </c>
      <c r="D84" s="53">
        <v>194</v>
      </c>
      <c r="E84" s="53">
        <v>105622</v>
      </c>
      <c r="F84" s="54">
        <v>6.44</v>
      </c>
      <c r="G84" s="55">
        <v>15108</v>
      </c>
      <c r="H84" s="56">
        <f t="shared" si="1"/>
        <v>405</v>
      </c>
    </row>
    <row r="85" spans="1:8" ht="15.75" customHeight="1">
      <c r="A85" s="45">
        <v>45635</v>
      </c>
      <c r="B85" s="46" t="s">
        <v>27</v>
      </c>
      <c r="C85" s="47">
        <v>630</v>
      </c>
      <c r="D85" s="47">
        <v>248</v>
      </c>
      <c r="E85" s="47">
        <v>119054</v>
      </c>
      <c r="F85" s="48">
        <v>5.0199999999999996</v>
      </c>
      <c r="G85" s="49">
        <v>18867</v>
      </c>
      <c r="H85" s="50">
        <f t="shared" si="1"/>
        <v>382</v>
      </c>
    </row>
    <row r="86" spans="1:8" ht="15.75" customHeight="1">
      <c r="A86" s="51">
        <v>45642</v>
      </c>
      <c r="B86" s="52" t="s">
        <v>13</v>
      </c>
      <c r="C86" s="53">
        <v>1350</v>
      </c>
      <c r="D86" s="53">
        <v>233</v>
      </c>
      <c r="E86" s="53">
        <v>171670</v>
      </c>
      <c r="F86" s="54">
        <v>4.53</v>
      </c>
      <c r="G86" s="55">
        <v>17574</v>
      </c>
      <c r="H86" s="56">
        <f t="shared" si="1"/>
        <v>1117</v>
      </c>
    </row>
    <row r="87" spans="1:8" ht="15.75" customHeight="1">
      <c r="A87" s="45">
        <v>45642</v>
      </c>
      <c r="B87" s="46" t="s">
        <v>22</v>
      </c>
      <c r="C87" s="47">
        <v>632</v>
      </c>
      <c r="D87" s="47">
        <v>155</v>
      </c>
      <c r="E87" s="47">
        <v>170432</v>
      </c>
      <c r="F87" s="48">
        <v>9.17</v>
      </c>
      <c r="G87" s="49">
        <v>12840</v>
      </c>
      <c r="H87" s="50">
        <f t="shared" si="1"/>
        <v>477</v>
      </c>
    </row>
    <row r="88" spans="1:8" ht="15.75" customHeight="1">
      <c r="A88" s="51">
        <v>45642</v>
      </c>
      <c r="B88" s="52" t="s">
        <v>27</v>
      </c>
      <c r="C88" s="53">
        <v>1182</v>
      </c>
      <c r="D88" s="53">
        <v>83</v>
      </c>
      <c r="E88" s="53">
        <v>140300</v>
      </c>
      <c r="F88" s="54">
        <v>3.27</v>
      </c>
      <c r="G88" s="55">
        <v>21079</v>
      </c>
      <c r="H88" s="56">
        <f t="shared" si="1"/>
        <v>1099</v>
      </c>
    </row>
    <row r="89" spans="1:8" ht="15.75" customHeight="1">
      <c r="A89" s="45">
        <v>45649</v>
      </c>
      <c r="B89" s="46" t="s">
        <v>13</v>
      </c>
      <c r="C89" s="47">
        <v>661</v>
      </c>
      <c r="D89" s="47">
        <v>94</v>
      </c>
      <c r="E89" s="47">
        <v>116538</v>
      </c>
      <c r="F89" s="48">
        <v>5.31</v>
      </c>
      <c r="G89" s="49">
        <v>23486</v>
      </c>
      <c r="H89" s="50">
        <f t="shared" si="1"/>
        <v>567</v>
      </c>
    </row>
    <row r="90" spans="1:8" ht="15.75" customHeight="1">
      <c r="A90" s="51">
        <v>45649</v>
      </c>
      <c r="B90" s="52" t="s">
        <v>22</v>
      </c>
      <c r="C90" s="53">
        <v>1360</v>
      </c>
      <c r="D90" s="53">
        <v>227</v>
      </c>
      <c r="E90" s="53">
        <v>176902</v>
      </c>
      <c r="F90" s="54">
        <v>6.03</v>
      </c>
      <c r="G90" s="55">
        <v>5960</v>
      </c>
      <c r="H90" s="56">
        <f t="shared" si="1"/>
        <v>1133</v>
      </c>
    </row>
    <row r="91" spans="1:8" ht="15.75" customHeight="1">
      <c r="A91" s="45">
        <v>45649</v>
      </c>
      <c r="B91" s="46" t="s">
        <v>27</v>
      </c>
      <c r="C91" s="47">
        <v>935</v>
      </c>
      <c r="D91" s="47">
        <v>85</v>
      </c>
      <c r="E91" s="47">
        <v>326821</v>
      </c>
      <c r="F91" s="48">
        <v>8.89</v>
      </c>
      <c r="G91" s="49">
        <v>13301</v>
      </c>
      <c r="H91" s="50">
        <f t="shared" si="1"/>
        <v>850</v>
      </c>
    </row>
    <row r="92" spans="1:8" ht="15.75" customHeight="1">
      <c r="A92" s="51">
        <v>45656</v>
      </c>
      <c r="B92" s="52" t="s">
        <v>13</v>
      </c>
      <c r="C92" s="53">
        <v>664</v>
      </c>
      <c r="D92" s="53">
        <v>251</v>
      </c>
      <c r="E92" s="53">
        <v>240598</v>
      </c>
      <c r="F92" s="54">
        <v>4.79</v>
      </c>
      <c r="G92" s="55">
        <v>10563</v>
      </c>
      <c r="H92" s="56">
        <f t="shared" si="1"/>
        <v>413</v>
      </c>
    </row>
    <row r="93" spans="1:8" ht="15.75" customHeight="1">
      <c r="A93" s="45">
        <v>45656</v>
      </c>
      <c r="B93" s="46" t="s">
        <v>22</v>
      </c>
      <c r="C93" s="47">
        <v>1490</v>
      </c>
      <c r="D93" s="47">
        <v>103</v>
      </c>
      <c r="E93" s="47">
        <v>373274</v>
      </c>
      <c r="F93" s="48">
        <v>4.8</v>
      </c>
      <c r="G93" s="49">
        <v>19949</v>
      </c>
      <c r="H93" s="50">
        <f t="shared" si="1"/>
        <v>1387</v>
      </c>
    </row>
    <row r="94" spans="1:8" ht="15.75" customHeight="1">
      <c r="A94" s="51">
        <v>45656</v>
      </c>
      <c r="B94" s="52" t="s">
        <v>27</v>
      </c>
      <c r="C94" s="53">
        <v>601</v>
      </c>
      <c r="D94" s="53">
        <v>64</v>
      </c>
      <c r="E94" s="53">
        <v>123272</v>
      </c>
      <c r="F94" s="54">
        <v>4.07</v>
      </c>
      <c r="G94" s="55">
        <v>14273</v>
      </c>
      <c r="H94" s="56">
        <f t="shared" si="1"/>
        <v>537</v>
      </c>
    </row>
    <row r="95" spans="1:8" ht="15.75" customHeight="1">
      <c r="A95" s="45">
        <v>45663</v>
      </c>
      <c r="B95" s="46" t="s">
        <v>13</v>
      </c>
      <c r="C95" s="47">
        <v>613</v>
      </c>
      <c r="D95" s="47">
        <v>170</v>
      </c>
      <c r="E95" s="47">
        <v>139266</v>
      </c>
      <c r="F95" s="48">
        <v>6.06</v>
      </c>
      <c r="G95" s="49">
        <v>9247</v>
      </c>
      <c r="H95" s="50">
        <f t="shared" si="1"/>
        <v>443</v>
      </c>
    </row>
    <row r="96" spans="1:8" ht="15.75" customHeight="1">
      <c r="A96" s="51">
        <v>45663</v>
      </c>
      <c r="B96" s="52" t="s">
        <v>22</v>
      </c>
      <c r="C96" s="53">
        <v>1340</v>
      </c>
      <c r="D96" s="53">
        <v>57</v>
      </c>
      <c r="E96" s="53">
        <v>155927</v>
      </c>
      <c r="F96" s="54">
        <v>7.79</v>
      </c>
      <c r="G96" s="55">
        <v>11972</v>
      </c>
      <c r="H96" s="56">
        <f t="shared" si="1"/>
        <v>1283</v>
      </c>
    </row>
    <row r="97" spans="1:8" ht="15.75" customHeight="1">
      <c r="A97" s="45">
        <v>45663</v>
      </c>
      <c r="B97" s="46" t="s">
        <v>27</v>
      </c>
      <c r="C97" s="47">
        <v>953</v>
      </c>
      <c r="D97" s="47">
        <v>228</v>
      </c>
      <c r="E97" s="47">
        <v>258398</v>
      </c>
      <c r="F97" s="48">
        <v>9.0500000000000007</v>
      </c>
      <c r="G97" s="49">
        <v>13314</v>
      </c>
      <c r="H97" s="50">
        <f t="shared" si="1"/>
        <v>725</v>
      </c>
    </row>
    <row r="98" spans="1:8" ht="15.75" customHeight="1">
      <c r="A98" s="51">
        <v>45670</v>
      </c>
      <c r="B98" s="52" t="s">
        <v>13</v>
      </c>
      <c r="C98" s="53">
        <v>532</v>
      </c>
      <c r="D98" s="53">
        <v>65</v>
      </c>
      <c r="E98" s="53">
        <v>338561</v>
      </c>
      <c r="F98" s="54">
        <v>3.5</v>
      </c>
      <c r="G98" s="55">
        <v>14749</v>
      </c>
      <c r="H98" s="56">
        <f t="shared" si="1"/>
        <v>467</v>
      </c>
    </row>
    <row r="99" spans="1:8" ht="15.75" customHeight="1">
      <c r="A99" s="45">
        <v>45670</v>
      </c>
      <c r="B99" s="46" t="s">
        <v>22</v>
      </c>
      <c r="C99" s="47">
        <v>1414</v>
      </c>
      <c r="D99" s="47">
        <v>60</v>
      </c>
      <c r="E99" s="47">
        <v>341856</v>
      </c>
      <c r="F99" s="48">
        <v>8.76</v>
      </c>
      <c r="G99" s="49">
        <v>6868</v>
      </c>
      <c r="H99" s="50">
        <f t="shared" si="1"/>
        <v>1354</v>
      </c>
    </row>
    <row r="100" spans="1:8" ht="15.75" customHeight="1">
      <c r="A100" s="51">
        <v>45670</v>
      </c>
      <c r="B100" s="52" t="s">
        <v>27</v>
      </c>
      <c r="C100" s="53">
        <v>685</v>
      </c>
      <c r="D100" s="53">
        <v>165</v>
      </c>
      <c r="E100" s="53">
        <v>175860</v>
      </c>
      <c r="F100" s="54">
        <v>6.26</v>
      </c>
      <c r="G100" s="55">
        <v>6027</v>
      </c>
      <c r="H100" s="56">
        <f t="shared" si="1"/>
        <v>520</v>
      </c>
    </row>
    <row r="101" spans="1:8" ht="15.75" customHeight="1">
      <c r="A101" s="45">
        <v>45677</v>
      </c>
      <c r="B101" s="46" t="s">
        <v>13</v>
      </c>
      <c r="C101" s="47">
        <v>601</v>
      </c>
      <c r="D101" s="47">
        <v>159</v>
      </c>
      <c r="E101" s="47">
        <v>327722</v>
      </c>
      <c r="F101" s="48">
        <v>3.33</v>
      </c>
      <c r="G101" s="49">
        <v>25267</v>
      </c>
      <c r="H101" s="50">
        <f t="shared" si="1"/>
        <v>442</v>
      </c>
    </row>
    <row r="102" spans="1:8" ht="15.75" customHeight="1">
      <c r="A102" s="51">
        <v>45677</v>
      </c>
      <c r="B102" s="52" t="s">
        <v>22</v>
      </c>
      <c r="C102" s="53">
        <v>841</v>
      </c>
      <c r="D102" s="53">
        <v>295</v>
      </c>
      <c r="E102" s="53">
        <v>271638</v>
      </c>
      <c r="F102" s="54">
        <v>9.15</v>
      </c>
      <c r="G102" s="55">
        <v>5900</v>
      </c>
      <c r="H102" s="56">
        <f t="shared" si="1"/>
        <v>546</v>
      </c>
    </row>
    <row r="103" spans="1:8" ht="15.75" customHeight="1">
      <c r="A103" s="45">
        <v>45677</v>
      </c>
      <c r="B103" s="46" t="s">
        <v>27</v>
      </c>
      <c r="C103" s="47">
        <v>1105</v>
      </c>
      <c r="D103" s="47">
        <v>261</v>
      </c>
      <c r="E103" s="47">
        <v>333851</v>
      </c>
      <c r="F103" s="48">
        <v>6.03</v>
      </c>
      <c r="G103" s="49">
        <v>11181</v>
      </c>
      <c r="H103" s="50">
        <f t="shared" si="1"/>
        <v>844</v>
      </c>
    </row>
    <row r="104" spans="1:8" ht="15.75" customHeight="1">
      <c r="A104" s="51">
        <v>45684</v>
      </c>
      <c r="B104" s="52" t="s">
        <v>13</v>
      </c>
      <c r="C104" s="53">
        <v>566</v>
      </c>
      <c r="D104" s="53">
        <v>225</v>
      </c>
      <c r="E104" s="53">
        <v>368984</v>
      </c>
      <c r="F104" s="54">
        <v>9.82</v>
      </c>
      <c r="G104" s="55">
        <v>9592</v>
      </c>
      <c r="H104" s="56">
        <f t="shared" si="1"/>
        <v>341</v>
      </c>
    </row>
    <row r="105" spans="1:8" ht="15.75" customHeight="1">
      <c r="A105" s="45">
        <v>45684</v>
      </c>
      <c r="B105" s="46" t="s">
        <v>22</v>
      </c>
      <c r="C105" s="47">
        <v>1149</v>
      </c>
      <c r="D105" s="47">
        <v>280</v>
      </c>
      <c r="E105" s="47">
        <v>167310</v>
      </c>
      <c r="F105" s="48">
        <v>3.7</v>
      </c>
      <c r="G105" s="49">
        <v>5291</v>
      </c>
      <c r="H105" s="50">
        <f t="shared" si="1"/>
        <v>869</v>
      </c>
    </row>
    <row r="106" spans="1:8" ht="15.75" customHeight="1">
      <c r="A106" s="51">
        <v>45684</v>
      </c>
      <c r="B106" s="52" t="s">
        <v>27</v>
      </c>
      <c r="C106" s="53">
        <v>819</v>
      </c>
      <c r="D106" s="53">
        <v>101</v>
      </c>
      <c r="E106" s="53">
        <v>194811</v>
      </c>
      <c r="F106" s="54">
        <v>3.35</v>
      </c>
      <c r="G106" s="55">
        <v>22244</v>
      </c>
      <c r="H106" s="56">
        <f t="shared" si="1"/>
        <v>718</v>
      </c>
    </row>
    <row r="107" spans="1:8" ht="15.75" customHeight="1">
      <c r="A107" s="45">
        <v>45691</v>
      </c>
      <c r="B107" s="46" t="s">
        <v>13</v>
      </c>
      <c r="C107" s="47">
        <v>795</v>
      </c>
      <c r="D107" s="47">
        <v>60</v>
      </c>
      <c r="E107" s="47">
        <v>314982</v>
      </c>
      <c r="F107" s="48">
        <v>7.31</v>
      </c>
      <c r="G107" s="49">
        <v>6824</v>
      </c>
      <c r="H107" s="50">
        <f t="shared" si="1"/>
        <v>735</v>
      </c>
    </row>
    <row r="108" spans="1:8" ht="15.75" customHeight="1">
      <c r="A108" s="51">
        <v>45691</v>
      </c>
      <c r="B108" s="52" t="s">
        <v>22</v>
      </c>
      <c r="C108" s="53">
        <v>681</v>
      </c>
      <c r="D108" s="53">
        <v>158</v>
      </c>
      <c r="E108" s="53">
        <v>75960</v>
      </c>
      <c r="F108" s="54">
        <v>3.13</v>
      </c>
      <c r="G108" s="55">
        <v>24112</v>
      </c>
      <c r="H108" s="56">
        <f t="shared" si="1"/>
        <v>523</v>
      </c>
    </row>
    <row r="109" spans="1:8" ht="15.75" customHeight="1">
      <c r="A109" s="45">
        <v>45691</v>
      </c>
      <c r="B109" s="46" t="s">
        <v>27</v>
      </c>
      <c r="C109" s="47">
        <v>534</v>
      </c>
      <c r="D109" s="47">
        <v>112</v>
      </c>
      <c r="E109" s="47">
        <v>360759</v>
      </c>
      <c r="F109" s="48">
        <v>4.8899999999999997</v>
      </c>
      <c r="G109" s="49">
        <v>25478</v>
      </c>
      <c r="H109" s="50">
        <f t="shared" si="1"/>
        <v>422</v>
      </c>
    </row>
    <row r="110" spans="1:8" ht="15.75" customHeight="1">
      <c r="A110" s="51">
        <v>45698</v>
      </c>
      <c r="B110" s="52" t="s">
        <v>13</v>
      </c>
      <c r="C110" s="53">
        <v>1066</v>
      </c>
      <c r="D110" s="53">
        <v>151</v>
      </c>
      <c r="E110" s="53">
        <v>297090</v>
      </c>
      <c r="F110" s="54">
        <v>8.6300000000000008</v>
      </c>
      <c r="G110" s="55">
        <v>11235</v>
      </c>
      <c r="H110" s="56">
        <f t="shared" si="1"/>
        <v>915</v>
      </c>
    </row>
    <row r="111" spans="1:8" ht="15.75" customHeight="1">
      <c r="A111" s="45">
        <v>45698</v>
      </c>
      <c r="B111" s="46" t="s">
        <v>22</v>
      </c>
      <c r="C111" s="47">
        <v>1270</v>
      </c>
      <c r="D111" s="47">
        <v>162</v>
      </c>
      <c r="E111" s="47">
        <v>92040</v>
      </c>
      <c r="F111" s="48">
        <v>8.0299999999999994</v>
      </c>
      <c r="G111" s="49">
        <v>6120</v>
      </c>
      <c r="H111" s="50">
        <f t="shared" si="1"/>
        <v>1108</v>
      </c>
    </row>
    <row r="112" spans="1:8" ht="15.75" customHeight="1">
      <c r="A112" s="51">
        <v>45698</v>
      </c>
      <c r="B112" s="52" t="s">
        <v>27</v>
      </c>
      <c r="C112" s="53">
        <v>536</v>
      </c>
      <c r="D112" s="53">
        <v>198</v>
      </c>
      <c r="E112" s="53">
        <v>174610</v>
      </c>
      <c r="F112" s="54">
        <v>7.85</v>
      </c>
      <c r="G112" s="55">
        <v>20572</v>
      </c>
      <c r="H112" s="56">
        <f t="shared" si="1"/>
        <v>338</v>
      </c>
    </row>
    <row r="113" spans="1:8" ht="15.75" customHeight="1">
      <c r="A113" s="45">
        <v>45705</v>
      </c>
      <c r="B113" s="46" t="s">
        <v>13</v>
      </c>
      <c r="C113" s="47">
        <v>819</v>
      </c>
      <c r="D113" s="47">
        <v>95</v>
      </c>
      <c r="E113" s="47">
        <v>177376</v>
      </c>
      <c r="F113" s="48">
        <v>6.12</v>
      </c>
      <c r="G113" s="49">
        <v>14975</v>
      </c>
      <c r="H113" s="50">
        <f t="shared" si="1"/>
        <v>724</v>
      </c>
    </row>
    <row r="114" spans="1:8" ht="15.75" customHeight="1">
      <c r="A114" s="51">
        <v>45705</v>
      </c>
      <c r="B114" s="52" t="s">
        <v>22</v>
      </c>
      <c r="C114" s="53">
        <v>681</v>
      </c>
      <c r="D114" s="53">
        <v>218</v>
      </c>
      <c r="E114" s="53">
        <v>198882</v>
      </c>
      <c r="F114" s="54">
        <v>7.16</v>
      </c>
      <c r="G114" s="55">
        <v>22234</v>
      </c>
      <c r="H114" s="56">
        <f t="shared" si="1"/>
        <v>463</v>
      </c>
    </row>
    <row r="115" spans="1:8" ht="15.75" customHeight="1">
      <c r="A115" s="45">
        <v>45705</v>
      </c>
      <c r="B115" s="46" t="s">
        <v>27</v>
      </c>
      <c r="C115" s="47">
        <v>646</v>
      </c>
      <c r="D115" s="47">
        <v>290</v>
      </c>
      <c r="E115" s="47">
        <v>336383</v>
      </c>
      <c r="F115" s="48">
        <v>7.04</v>
      </c>
      <c r="G115" s="49">
        <v>6532</v>
      </c>
      <c r="H115" s="50">
        <f t="shared" si="1"/>
        <v>356</v>
      </c>
    </row>
    <row r="116" spans="1:8" ht="15.75" customHeight="1">
      <c r="A116" s="51">
        <v>45712</v>
      </c>
      <c r="B116" s="52" t="s">
        <v>13</v>
      </c>
      <c r="C116" s="53">
        <v>645</v>
      </c>
      <c r="D116" s="53">
        <v>267</v>
      </c>
      <c r="E116" s="53">
        <v>346890</v>
      </c>
      <c r="F116" s="54">
        <v>3.71</v>
      </c>
      <c r="G116" s="55">
        <v>24858</v>
      </c>
      <c r="H116" s="56">
        <f t="shared" si="1"/>
        <v>378</v>
      </c>
    </row>
    <row r="117" spans="1:8" ht="15.75" customHeight="1">
      <c r="A117" s="45">
        <v>45712</v>
      </c>
      <c r="B117" s="46" t="s">
        <v>22</v>
      </c>
      <c r="C117" s="47">
        <v>886</v>
      </c>
      <c r="D117" s="47">
        <v>250</v>
      </c>
      <c r="E117" s="47">
        <v>168170</v>
      </c>
      <c r="F117" s="48">
        <v>4.12</v>
      </c>
      <c r="G117" s="49">
        <v>13883</v>
      </c>
      <c r="H117" s="50">
        <f t="shared" si="1"/>
        <v>636</v>
      </c>
    </row>
    <row r="118" spans="1:8" ht="15.75" customHeight="1">
      <c r="A118" s="51">
        <v>45712</v>
      </c>
      <c r="B118" s="52" t="s">
        <v>27</v>
      </c>
      <c r="C118" s="53">
        <v>978</v>
      </c>
      <c r="D118" s="53">
        <v>279</v>
      </c>
      <c r="E118" s="53">
        <v>368872</v>
      </c>
      <c r="F118" s="54">
        <v>6.82</v>
      </c>
      <c r="G118" s="55">
        <v>18654</v>
      </c>
      <c r="H118" s="56">
        <f t="shared" si="1"/>
        <v>699</v>
      </c>
    </row>
    <row r="119" spans="1:8" ht="15.75" customHeight="1">
      <c r="A119" s="45">
        <v>45719</v>
      </c>
      <c r="B119" s="46" t="s">
        <v>13</v>
      </c>
      <c r="C119" s="47">
        <v>1444</v>
      </c>
      <c r="D119" s="47">
        <v>165</v>
      </c>
      <c r="E119" s="47">
        <v>116436</v>
      </c>
      <c r="F119" s="48">
        <v>8.2200000000000006</v>
      </c>
      <c r="G119" s="49">
        <v>25234</v>
      </c>
      <c r="H119" s="50">
        <f t="shared" si="1"/>
        <v>1279</v>
      </c>
    </row>
    <row r="120" spans="1:8" ht="15.75" customHeight="1">
      <c r="A120" s="51">
        <v>45719</v>
      </c>
      <c r="B120" s="52" t="s">
        <v>22</v>
      </c>
      <c r="C120" s="53">
        <v>1234</v>
      </c>
      <c r="D120" s="53">
        <v>228</v>
      </c>
      <c r="E120" s="53">
        <v>127502</v>
      </c>
      <c r="F120" s="54">
        <v>7.71</v>
      </c>
      <c r="G120" s="55">
        <v>6772</v>
      </c>
      <c r="H120" s="56">
        <f t="shared" si="1"/>
        <v>1006</v>
      </c>
    </row>
    <row r="121" spans="1:8" ht="15.75" customHeight="1">
      <c r="A121" s="45">
        <v>45719</v>
      </c>
      <c r="B121" s="46" t="s">
        <v>27</v>
      </c>
      <c r="C121" s="47">
        <v>665</v>
      </c>
      <c r="D121" s="47">
        <v>187</v>
      </c>
      <c r="E121" s="47">
        <v>274567</v>
      </c>
      <c r="F121" s="48">
        <v>7.39</v>
      </c>
      <c r="G121" s="49">
        <v>22428</v>
      </c>
      <c r="H121" s="50">
        <f t="shared" si="1"/>
        <v>478</v>
      </c>
    </row>
    <row r="122" spans="1:8" ht="15.75" customHeight="1">
      <c r="A122" s="51">
        <v>45726</v>
      </c>
      <c r="B122" s="52" t="s">
        <v>13</v>
      </c>
      <c r="C122" s="53">
        <v>631</v>
      </c>
      <c r="D122" s="53">
        <v>86</v>
      </c>
      <c r="E122" s="53">
        <v>295090</v>
      </c>
      <c r="F122" s="54">
        <v>7.89</v>
      </c>
      <c r="G122" s="55">
        <v>11911</v>
      </c>
      <c r="H122" s="56">
        <f t="shared" si="1"/>
        <v>545</v>
      </c>
    </row>
    <row r="123" spans="1:8" ht="15.75" customHeight="1">
      <c r="A123" s="45">
        <v>45726</v>
      </c>
      <c r="B123" s="46" t="s">
        <v>22</v>
      </c>
      <c r="C123" s="47">
        <v>1159</v>
      </c>
      <c r="D123" s="47">
        <v>154</v>
      </c>
      <c r="E123" s="47">
        <v>194994</v>
      </c>
      <c r="F123" s="48">
        <v>6.39</v>
      </c>
      <c r="G123" s="49">
        <v>21900</v>
      </c>
      <c r="H123" s="50">
        <f t="shared" si="1"/>
        <v>1005</v>
      </c>
    </row>
    <row r="124" spans="1:8" ht="15.75" customHeight="1">
      <c r="A124" s="51">
        <v>45726</v>
      </c>
      <c r="B124" s="52" t="s">
        <v>27</v>
      </c>
      <c r="C124" s="53">
        <v>950</v>
      </c>
      <c r="D124" s="53">
        <v>185</v>
      </c>
      <c r="E124" s="53">
        <v>340750</v>
      </c>
      <c r="F124" s="54">
        <v>6.77</v>
      </c>
      <c r="G124" s="55">
        <v>25542</v>
      </c>
      <c r="H124" s="56">
        <f t="shared" si="1"/>
        <v>765</v>
      </c>
    </row>
    <row r="125" spans="1:8" ht="15.75" customHeight="1">
      <c r="A125" s="45">
        <v>45733</v>
      </c>
      <c r="B125" s="46" t="s">
        <v>13</v>
      </c>
      <c r="C125" s="47">
        <v>693</v>
      </c>
      <c r="D125" s="47">
        <v>129</v>
      </c>
      <c r="E125" s="47">
        <v>296031</v>
      </c>
      <c r="F125" s="48">
        <v>3.41</v>
      </c>
      <c r="G125" s="49">
        <v>7140</v>
      </c>
      <c r="H125" s="50">
        <f t="shared" si="1"/>
        <v>564</v>
      </c>
    </row>
    <row r="126" spans="1:8" ht="15.75" customHeight="1">
      <c r="A126" s="51">
        <v>45733</v>
      </c>
      <c r="B126" s="52" t="s">
        <v>22</v>
      </c>
      <c r="C126" s="53">
        <v>576</v>
      </c>
      <c r="D126" s="53">
        <v>80</v>
      </c>
      <c r="E126" s="53">
        <v>345688</v>
      </c>
      <c r="F126" s="54">
        <v>4.1100000000000003</v>
      </c>
      <c r="G126" s="55">
        <v>20474</v>
      </c>
      <c r="H126" s="56">
        <f t="shared" si="1"/>
        <v>496</v>
      </c>
    </row>
    <row r="127" spans="1:8" ht="15.75" customHeight="1">
      <c r="A127" s="45">
        <v>45733</v>
      </c>
      <c r="B127" s="46" t="s">
        <v>27</v>
      </c>
      <c r="C127" s="47">
        <v>1274</v>
      </c>
      <c r="D127" s="47">
        <v>146</v>
      </c>
      <c r="E127" s="47">
        <v>263488</v>
      </c>
      <c r="F127" s="48">
        <v>9.58</v>
      </c>
      <c r="G127" s="49">
        <v>8698</v>
      </c>
      <c r="H127" s="50">
        <f t="shared" si="1"/>
        <v>1128</v>
      </c>
    </row>
    <row r="128" spans="1:8" ht="15.75" customHeight="1">
      <c r="A128" s="51">
        <v>45740</v>
      </c>
      <c r="B128" s="52" t="s">
        <v>13</v>
      </c>
      <c r="C128" s="53">
        <v>818</v>
      </c>
      <c r="D128" s="53">
        <v>253</v>
      </c>
      <c r="E128" s="53">
        <v>184911</v>
      </c>
      <c r="F128" s="54">
        <v>3.39</v>
      </c>
      <c r="G128" s="55">
        <v>10402</v>
      </c>
      <c r="H128" s="56">
        <f t="shared" si="1"/>
        <v>565</v>
      </c>
    </row>
    <row r="129" spans="1:8" ht="15.75" customHeight="1">
      <c r="A129" s="45">
        <v>45740</v>
      </c>
      <c r="B129" s="46" t="s">
        <v>22</v>
      </c>
      <c r="C129" s="47">
        <v>975</v>
      </c>
      <c r="D129" s="47">
        <v>162</v>
      </c>
      <c r="E129" s="47">
        <v>124497</v>
      </c>
      <c r="F129" s="48">
        <v>9.58</v>
      </c>
      <c r="G129" s="49">
        <v>26618</v>
      </c>
      <c r="H129" s="50">
        <f t="shared" si="1"/>
        <v>813</v>
      </c>
    </row>
    <row r="130" spans="1:8" ht="15.75" customHeight="1">
      <c r="A130" s="51">
        <v>45740</v>
      </c>
      <c r="B130" s="52" t="s">
        <v>27</v>
      </c>
      <c r="C130" s="53">
        <v>1398</v>
      </c>
      <c r="D130" s="53">
        <v>97</v>
      </c>
      <c r="E130" s="53">
        <v>397607</v>
      </c>
      <c r="F130" s="54">
        <v>5.09</v>
      </c>
      <c r="G130" s="55">
        <v>7975</v>
      </c>
      <c r="H130" s="56">
        <f t="shared" si="1"/>
        <v>1301</v>
      </c>
    </row>
    <row r="131" spans="1:8" ht="15.75" customHeight="1">
      <c r="A131" s="45">
        <v>45747</v>
      </c>
      <c r="B131" s="46" t="s">
        <v>13</v>
      </c>
      <c r="C131" s="47">
        <v>591</v>
      </c>
      <c r="D131" s="47">
        <v>155</v>
      </c>
      <c r="E131" s="47">
        <v>138521</v>
      </c>
      <c r="F131" s="48">
        <v>7.85</v>
      </c>
      <c r="G131" s="49">
        <v>19054</v>
      </c>
      <c r="H131" s="50">
        <f t="shared" ref="H131:H194" si="2">C131-D131</f>
        <v>436</v>
      </c>
    </row>
    <row r="132" spans="1:8" ht="15.75" customHeight="1">
      <c r="A132" s="51">
        <v>45747</v>
      </c>
      <c r="B132" s="52" t="s">
        <v>22</v>
      </c>
      <c r="C132" s="53">
        <v>1232</v>
      </c>
      <c r="D132" s="53">
        <v>254</v>
      </c>
      <c r="E132" s="53">
        <v>107718</v>
      </c>
      <c r="F132" s="54">
        <v>9.7100000000000009</v>
      </c>
      <c r="G132" s="55">
        <v>13740</v>
      </c>
      <c r="H132" s="56">
        <f t="shared" si="2"/>
        <v>978</v>
      </c>
    </row>
    <row r="133" spans="1:8" ht="15.75" customHeight="1">
      <c r="A133" s="45">
        <v>45747</v>
      </c>
      <c r="B133" s="46" t="s">
        <v>27</v>
      </c>
      <c r="C133" s="47">
        <v>1425</v>
      </c>
      <c r="D133" s="47">
        <v>58</v>
      </c>
      <c r="E133" s="47">
        <v>202234</v>
      </c>
      <c r="F133" s="48">
        <v>6.67</v>
      </c>
      <c r="G133" s="49">
        <v>18442</v>
      </c>
      <c r="H133" s="50">
        <f t="shared" si="2"/>
        <v>1367</v>
      </c>
    </row>
    <row r="134" spans="1:8" ht="15.75" customHeight="1">
      <c r="A134" s="51">
        <v>45754</v>
      </c>
      <c r="B134" s="52" t="s">
        <v>13</v>
      </c>
      <c r="C134" s="53">
        <v>1417</v>
      </c>
      <c r="D134" s="53">
        <v>80</v>
      </c>
      <c r="E134" s="53">
        <v>340987</v>
      </c>
      <c r="F134" s="54">
        <v>6.13</v>
      </c>
      <c r="G134" s="55">
        <v>10104</v>
      </c>
      <c r="H134" s="56">
        <f t="shared" si="2"/>
        <v>1337</v>
      </c>
    </row>
    <row r="135" spans="1:8" ht="15.75" customHeight="1">
      <c r="A135" s="45">
        <v>45754</v>
      </c>
      <c r="B135" s="46" t="s">
        <v>22</v>
      </c>
      <c r="C135" s="47">
        <v>1222</v>
      </c>
      <c r="D135" s="47">
        <v>208</v>
      </c>
      <c r="E135" s="47">
        <v>340098</v>
      </c>
      <c r="F135" s="48">
        <v>7.34</v>
      </c>
      <c r="G135" s="49">
        <v>21771</v>
      </c>
      <c r="H135" s="50">
        <f t="shared" si="2"/>
        <v>1014</v>
      </c>
    </row>
    <row r="136" spans="1:8" ht="15.75" customHeight="1">
      <c r="A136" s="51">
        <v>45754</v>
      </c>
      <c r="B136" s="52" t="s">
        <v>27</v>
      </c>
      <c r="C136" s="53">
        <v>1071</v>
      </c>
      <c r="D136" s="53">
        <v>131</v>
      </c>
      <c r="E136" s="53">
        <v>254727</v>
      </c>
      <c r="F136" s="54">
        <v>6.87</v>
      </c>
      <c r="G136" s="55">
        <v>22191</v>
      </c>
      <c r="H136" s="56">
        <f t="shared" si="2"/>
        <v>940</v>
      </c>
    </row>
    <row r="137" spans="1:8" ht="15.75" customHeight="1">
      <c r="A137" s="45">
        <v>45761</v>
      </c>
      <c r="B137" s="46" t="s">
        <v>13</v>
      </c>
      <c r="C137" s="47">
        <v>772</v>
      </c>
      <c r="D137" s="47">
        <v>82</v>
      </c>
      <c r="E137" s="47">
        <v>345659</v>
      </c>
      <c r="F137" s="48">
        <v>3.52</v>
      </c>
      <c r="G137" s="49">
        <v>27753</v>
      </c>
      <c r="H137" s="50">
        <f t="shared" si="2"/>
        <v>690</v>
      </c>
    </row>
    <row r="138" spans="1:8" ht="15.75" customHeight="1">
      <c r="A138" s="51">
        <v>45761</v>
      </c>
      <c r="B138" s="52" t="s">
        <v>22</v>
      </c>
      <c r="C138" s="53">
        <v>1472</v>
      </c>
      <c r="D138" s="53">
        <v>137</v>
      </c>
      <c r="E138" s="53">
        <v>213950</v>
      </c>
      <c r="F138" s="54">
        <v>6.96</v>
      </c>
      <c r="G138" s="55">
        <v>23736</v>
      </c>
      <c r="H138" s="56">
        <f t="shared" si="2"/>
        <v>1335</v>
      </c>
    </row>
    <row r="139" spans="1:8" ht="15.75" customHeight="1">
      <c r="A139" s="45">
        <v>45761</v>
      </c>
      <c r="B139" s="46" t="s">
        <v>27</v>
      </c>
      <c r="C139" s="47">
        <v>1472</v>
      </c>
      <c r="D139" s="47">
        <v>281</v>
      </c>
      <c r="E139" s="47">
        <v>258115</v>
      </c>
      <c r="F139" s="48">
        <v>7.23</v>
      </c>
      <c r="G139" s="49">
        <v>27393</v>
      </c>
      <c r="H139" s="50">
        <f t="shared" si="2"/>
        <v>1191</v>
      </c>
    </row>
    <row r="140" spans="1:8" ht="15.75" customHeight="1">
      <c r="A140" s="51">
        <v>45768</v>
      </c>
      <c r="B140" s="52" t="s">
        <v>13</v>
      </c>
      <c r="C140" s="53">
        <v>585</v>
      </c>
      <c r="D140" s="53">
        <v>232</v>
      </c>
      <c r="E140" s="53">
        <v>321258</v>
      </c>
      <c r="F140" s="54">
        <v>7.42</v>
      </c>
      <c r="G140" s="55">
        <v>10343</v>
      </c>
      <c r="H140" s="56">
        <f t="shared" si="2"/>
        <v>353</v>
      </c>
    </row>
    <row r="141" spans="1:8" ht="15.75" customHeight="1">
      <c r="A141" s="45">
        <v>45768</v>
      </c>
      <c r="B141" s="46" t="s">
        <v>22</v>
      </c>
      <c r="C141" s="47">
        <v>747</v>
      </c>
      <c r="D141" s="47">
        <v>261</v>
      </c>
      <c r="E141" s="47">
        <v>338650</v>
      </c>
      <c r="F141" s="48">
        <v>7.73</v>
      </c>
      <c r="G141" s="49">
        <v>25259</v>
      </c>
      <c r="H141" s="50">
        <f t="shared" si="2"/>
        <v>486</v>
      </c>
    </row>
    <row r="142" spans="1:8" ht="15.75" customHeight="1">
      <c r="A142" s="51">
        <v>45768</v>
      </c>
      <c r="B142" s="52" t="s">
        <v>27</v>
      </c>
      <c r="C142" s="53">
        <v>1113</v>
      </c>
      <c r="D142" s="53">
        <v>224</v>
      </c>
      <c r="E142" s="53">
        <v>272989</v>
      </c>
      <c r="F142" s="54">
        <v>5.13</v>
      </c>
      <c r="G142" s="55">
        <v>24827</v>
      </c>
      <c r="H142" s="56">
        <f t="shared" si="2"/>
        <v>889</v>
      </c>
    </row>
    <row r="143" spans="1:8" ht="15.75" customHeight="1">
      <c r="A143" s="45">
        <v>45775</v>
      </c>
      <c r="B143" s="46" t="s">
        <v>13</v>
      </c>
      <c r="C143" s="47">
        <v>1100</v>
      </c>
      <c r="D143" s="47">
        <v>117</v>
      </c>
      <c r="E143" s="47">
        <v>260204</v>
      </c>
      <c r="F143" s="48">
        <v>4.4000000000000004</v>
      </c>
      <c r="G143" s="49">
        <v>11908</v>
      </c>
      <c r="H143" s="50">
        <f t="shared" si="2"/>
        <v>983</v>
      </c>
    </row>
    <row r="144" spans="1:8" ht="15.75" customHeight="1">
      <c r="A144" s="51">
        <v>45775</v>
      </c>
      <c r="B144" s="52" t="s">
        <v>22</v>
      </c>
      <c r="C144" s="53">
        <v>751</v>
      </c>
      <c r="D144" s="53">
        <v>170</v>
      </c>
      <c r="E144" s="53">
        <v>283278</v>
      </c>
      <c r="F144" s="54">
        <v>3.49</v>
      </c>
      <c r="G144" s="55">
        <v>11005</v>
      </c>
      <c r="H144" s="56">
        <f t="shared" si="2"/>
        <v>581</v>
      </c>
    </row>
    <row r="145" spans="1:8" ht="15.75" customHeight="1">
      <c r="A145" s="45">
        <v>45775</v>
      </c>
      <c r="B145" s="46" t="s">
        <v>27</v>
      </c>
      <c r="C145" s="47">
        <v>864</v>
      </c>
      <c r="D145" s="47">
        <v>50</v>
      </c>
      <c r="E145" s="47">
        <v>277445</v>
      </c>
      <c r="F145" s="48">
        <v>3.57</v>
      </c>
      <c r="G145" s="49">
        <v>26333</v>
      </c>
      <c r="H145" s="50">
        <f t="shared" si="2"/>
        <v>814</v>
      </c>
    </row>
    <row r="146" spans="1:8" ht="15.75" customHeight="1">
      <c r="A146" s="51">
        <v>45782</v>
      </c>
      <c r="B146" s="52" t="s">
        <v>13</v>
      </c>
      <c r="C146" s="53">
        <v>1146</v>
      </c>
      <c r="D146" s="53">
        <v>227</v>
      </c>
      <c r="E146" s="53">
        <v>353781</v>
      </c>
      <c r="F146" s="54">
        <v>6.41</v>
      </c>
      <c r="G146" s="55">
        <v>5495</v>
      </c>
      <c r="H146" s="56">
        <f t="shared" si="2"/>
        <v>919</v>
      </c>
    </row>
    <row r="147" spans="1:8" ht="15.75" customHeight="1">
      <c r="A147" s="45">
        <v>45782</v>
      </c>
      <c r="B147" s="46" t="s">
        <v>22</v>
      </c>
      <c r="C147" s="47">
        <v>883</v>
      </c>
      <c r="D147" s="47">
        <v>207</v>
      </c>
      <c r="E147" s="47">
        <v>265019</v>
      </c>
      <c r="F147" s="48">
        <v>6.04</v>
      </c>
      <c r="G147" s="49">
        <v>15655</v>
      </c>
      <c r="H147" s="50">
        <f t="shared" si="2"/>
        <v>676</v>
      </c>
    </row>
    <row r="148" spans="1:8" ht="15.75" customHeight="1">
      <c r="A148" s="51">
        <v>45782</v>
      </c>
      <c r="B148" s="52" t="s">
        <v>27</v>
      </c>
      <c r="C148" s="53">
        <v>622</v>
      </c>
      <c r="D148" s="53">
        <v>163</v>
      </c>
      <c r="E148" s="53">
        <v>231925</v>
      </c>
      <c r="F148" s="54">
        <v>9.18</v>
      </c>
      <c r="G148" s="55">
        <v>13763</v>
      </c>
      <c r="H148" s="56">
        <f t="shared" si="2"/>
        <v>459</v>
      </c>
    </row>
    <row r="149" spans="1:8" ht="15.75" customHeight="1">
      <c r="A149" s="45">
        <v>45789</v>
      </c>
      <c r="B149" s="46" t="s">
        <v>13</v>
      </c>
      <c r="C149" s="47">
        <v>837</v>
      </c>
      <c r="D149" s="47">
        <v>261</v>
      </c>
      <c r="E149" s="47">
        <v>366149</v>
      </c>
      <c r="F149" s="48">
        <v>6.54</v>
      </c>
      <c r="G149" s="49">
        <v>26073</v>
      </c>
      <c r="H149" s="50">
        <f t="shared" si="2"/>
        <v>576</v>
      </c>
    </row>
    <row r="150" spans="1:8" ht="15.75" customHeight="1">
      <c r="A150" s="51">
        <v>45789</v>
      </c>
      <c r="B150" s="52" t="s">
        <v>22</v>
      </c>
      <c r="C150" s="53">
        <v>544</v>
      </c>
      <c r="D150" s="53">
        <v>97</v>
      </c>
      <c r="E150" s="53">
        <v>168375</v>
      </c>
      <c r="F150" s="54">
        <v>8.66</v>
      </c>
      <c r="G150" s="55">
        <v>12774</v>
      </c>
      <c r="H150" s="56">
        <f t="shared" si="2"/>
        <v>447</v>
      </c>
    </row>
    <row r="151" spans="1:8" ht="15.75" customHeight="1">
      <c r="A151" s="45">
        <v>45789</v>
      </c>
      <c r="B151" s="46" t="s">
        <v>27</v>
      </c>
      <c r="C151" s="47">
        <v>624</v>
      </c>
      <c r="D151" s="47">
        <v>247</v>
      </c>
      <c r="E151" s="47">
        <v>252763</v>
      </c>
      <c r="F151" s="48">
        <v>3.89</v>
      </c>
      <c r="G151" s="49">
        <v>19000</v>
      </c>
      <c r="H151" s="50">
        <f t="shared" si="2"/>
        <v>377</v>
      </c>
    </row>
    <row r="152" spans="1:8" ht="15.75" customHeight="1">
      <c r="A152" s="51">
        <v>45796</v>
      </c>
      <c r="B152" s="52" t="s">
        <v>13</v>
      </c>
      <c r="C152" s="53">
        <v>1073</v>
      </c>
      <c r="D152" s="53">
        <v>141</v>
      </c>
      <c r="E152" s="53">
        <v>118393</v>
      </c>
      <c r="F152" s="54">
        <v>7.95</v>
      </c>
      <c r="G152" s="55">
        <v>14051</v>
      </c>
      <c r="H152" s="56">
        <f t="shared" si="2"/>
        <v>932</v>
      </c>
    </row>
    <row r="153" spans="1:8" ht="15.75" customHeight="1">
      <c r="A153" s="45">
        <v>45796</v>
      </c>
      <c r="B153" s="46" t="s">
        <v>22</v>
      </c>
      <c r="C153" s="47">
        <v>1430</v>
      </c>
      <c r="D153" s="47">
        <v>74</v>
      </c>
      <c r="E153" s="47">
        <v>327012</v>
      </c>
      <c r="F153" s="48">
        <v>6.66</v>
      </c>
      <c r="G153" s="49">
        <v>27782</v>
      </c>
      <c r="H153" s="50">
        <f t="shared" si="2"/>
        <v>1356</v>
      </c>
    </row>
    <row r="154" spans="1:8" ht="15.75" customHeight="1">
      <c r="A154" s="51">
        <v>45796</v>
      </c>
      <c r="B154" s="52" t="s">
        <v>27</v>
      </c>
      <c r="C154" s="53">
        <v>1358</v>
      </c>
      <c r="D154" s="53">
        <v>77</v>
      </c>
      <c r="E154" s="53">
        <v>169688</v>
      </c>
      <c r="F154" s="54">
        <v>5.25</v>
      </c>
      <c r="G154" s="55">
        <v>7859</v>
      </c>
      <c r="H154" s="56">
        <f t="shared" si="2"/>
        <v>1281</v>
      </c>
    </row>
    <row r="155" spans="1:8" ht="15.75" customHeight="1">
      <c r="A155" s="45">
        <v>45803</v>
      </c>
      <c r="B155" s="46" t="s">
        <v>13</v>
      </c>
      <c r="C155" s="47">
        <v>1242</v>
      </c>
      <c r="D155" s="47">
        <v>201</v>
      </c>
      <c r="E155" s="47">
        <v>271935</v>
      </c>
      <c r="F155" s="48">
        <v>5.07</v>
      </c>
      <c r="G155" s="49">
        <v>15773</v>
      </c>
      <c r="H155" s="50">
        <f t="shared" si="2"/>
        <v>1041</v>
      </c>
    </row>
    <row r="156" spans="1:8" ht="15.75" customHeight="1">
      <c r="A156" s="51">
        <v>45803</v>
      </c>
      <c r="B156" s="52" t="s">
        <v>22</v>
      </c>
      <c r="C156" s="53">
        <v>1389</v>
      </c>
      <c r="D156" s="53">
        <v>205</v>
      </c>
      <c r="E156" s="53">
        <v>315981</v>
      </c>
      <c r="F156" s="54">
        <v>7.62</v>
      </c>
      <c r="G156" s="55">
        <v>20595</v>
      </c>
      <c r="H156" s="56">
        <f t="shared" si="2"/>
        <v>1184</v>
      </c>
    </row>
    <row r="157" spans="1:8" ht="15.75" customHeight="1">
      <c r="A157" s="45">
        <v>45803</v>
      </c>
      <c r="B157" s="46" t="s">
        <v>27</v>
      </c>
      <c r="C157" s="47">
        <v>826</v>
      </c>
      <c r="D157" s="47">
        <v>142</v>
      </c>
      <c r="E157" s="47">
        <v>341016</v>
      </c>
      <c r="F157" s="48">
        <v>7.44</v>
      </c>
      <c r="G157" s="49">
        <v>12031</v>
      </c>
      <c r="H157" s="50">
        <f t="shared" si="2"/>
        <v>684</v>
      </c>
    </row>
    <row r="158" spans="1:8" ht="15.75" customHeight="1">
      <c r="A158" s="51">
        <v>45810</v>
      </c>
      <c r="B158" s="52" t="s">
        <v>13</v>
      </c>
      <c r="C158" s="53">
        <v>618</v>
      </c>
      <c r="D158" s="53">
        <v>264</v>
      </c>
      <c r="E158" s="53">
        <v>285164</v>
      </c>
      <c r="F158" s="54">
        <v>4.8600000000000003</v>
      </c>
      <c r="G158" s="55">
        <v>15128</v>
      </c>
      <c r="H158" s="56">
        <f t="shared" si="2"/>
        <v>354</v>
      </c>
    </row>
    <row r="159" spans="1:8" ht="15.75" customHeight="1">
      <c r="A159" s="45">
        <v>45810</v>
      </c>
      <c r="B159" s="46" t="s">
        <v>22</v>
      </c>
      <c r="C159" s="47">
        <v>1419</v>
      </c>
      <c r="D159" s="47">
        <v>293</v>
      </c>
      <c r="E159" s="47">
        <v>116632</v>
      </c>
      <c r="F159" s="48">
        <v>6.93</v>
      </c>
      <c r="G159" s="49">
        <v>11826</v>
      </c>
      <c r="H159" s="50">
        <f t="shared" si="2"/>
        <v>1126</v>
      </c>
    </row>
    <row r="160" spans="1:8" ht="15.75" customHeight="1">
      <c r="A160" s="51">
        <v>45810</v>
      </c>
      <c r="B160" s="52" t="s">
        <v>27</v>
      </c>
      <c r="C160" s="53">
        <v>637</v>
      </c>
      <c r="D160" s="53">
        <v>68</v>
      </c>
      <c r="E160" s="53">
        <v>115694</v>
      </c>
      <c r="F160" s="54">
        <v>9.99</v>
      </c>
      <c r="G160" s="55">
        <v>12562</v>
      </c>
      <c r="H160" s="56">
        <f t="shared" si="2"/>
        <v>569</v>
      </c>
    </row>
    <row r="161" spans="1:8" ht="15.75" customHeight="1">
      <c r="A161" s="45">
        <v>45817</v>
      </c>
      <c r="B161" s="46" t="s">
        <v>13</v>
      </c>
      <c r="C161" s="47">
        <v>917</v>
      </c>
      <c r="D161" s="47">
        <v>187</v>
      </c>
      <c r="E161" s="47">
        <v>64444</v>
      </c>
      <c r="F161" s="48">
        <v>5.22</v>
      </c>
      <c r="G161" s="49">
        <v>13013</v>
      </c>
      <c r="H161" s="50">
        <f t="shared" si="2"/>
        <v>730</v>
      </c>
    </row>
    <row r="162" spans="1:8" ht="15.75" customHeight="1">
      <c r="A162" s="51">
        <v>45817</v>
      </c>
      <c r="B162" s="52" t="s">
        <v>22</v>
      </c>
      <c r="C162" s="53">
        <v>810</v>
      </c>
      <c r="D162" s="53">
        <v>232</v>
      </c>
      <c r="E162" s="53">
        <v>362559</v>
      </c>
      <c r="F162" s="54">
        <v>5.17</v>
      </c>
      <c r="G162" s="55">
        <v>12937</v>
      </c>
      <c r="H162" s="56">
        <f t="shared" si="2"/>
        <v>578</v>
      </c>
    </row>
    <row r="163" spans="1:8" ht="15.75" customHeight="1">
      <c r="A163" s="45">
        <v>45817</v>
      </c>
      <c r="B163" s="46" t="s">
        <v>27</v>
      </c>
      <c r="C163" s="47">
        <v>1183</v>
      </c>
      <c r="D163" s="47">
        <v>248</v>
      </c>
      <c r="E163" s="47">
        <v>226881</v>
      </c>
      <c r="F163" s="48">
        <v>5.17</v>
      </c>
      <c r="G163" s="49">
        <v>14534</v>
      </c>
      <c r="H163" s="50">
        <f t="shared" si="2"/>
        <v>935</v>
      </c>
    </row>
    <row r="164" spans="1:8" ht="15.75" customHeight="1">
      <c r="A164" s="51">
        <v>45824</v>
      </c>
      <c r="B164" s="52" t="s">
        <v>13</v>
      </c>
      <c r="C164" s="53">
        <v>765</v>
      </c>
      <c r="D164" s="53">
        <v>67</v>
      </c>
      <c r="E164" s="53">
        <v>283537</v>
      </c>
      <c r="F164" s="54">
        <v>6.18</v>
      </c>
      <c r="G164" s="55">
        <v>8182</v>
      </c>
      <c r="H164" s="56">
        <f t="shared" si="2"/>
        <v>698</v>
      </c>
    </row>
    <row r="165" spans="1:8" ht="15.75" customHeight="1">
      <c r="A165" s="45">
        <v>45824</v>
      </c>
      <c r="B165" s="46" t="s">
        <v>22</v>
      </c>
      <c r="C165" s="47">
        <v>540</v>
      </c>
      <c r="D165" s="47">
        <v>215</v>
      </c>
      <c r="E165" s="47">
        <v>62837</v>
      </c>
      <c r="F165" s="48">
        <v>5.3</v>
      </c>
      <c r="G165" s="49">
        <v>10615</v>
      </c>
      <c r="H165" s="50">
        <f t="shared" si="2"/>
        <v>325</v>
      </c>
    </row>
    <row r="166" spans="1:8" ht="15.75" customHeight="1">
      <c r="A166" s="51">
        <v>45824</v>
      </c>
      <c r="B166" s="52" t="s">
        <v>27</v>
      </c>
      <c r="C166" s="53">
        <v>1145</v>
      </c>
      <c r="D166" s="53">
        <v>151</v>
      </c>
      <c r="E166" s="53">
        <v>182759</v>
      </c>
      <c r="F166" s="54">
        <v>5.99</v>
      </c>
      <c r="G166" s="55">
        <v>20109</v>
      </c>
      <c r="H166" s="56">
        <f t="shared" si="2"/>
        <v>994</v>
      </c>
    </row>
    <row r="167" spans="1:8" ht="15.75" customHeight="1">
      <c r="A167" s="45">
        <v>45831</v>
      </c>
      <c r="B167" s="46" t="s">
        <v>13</v>
      </c>
      <c r="C167" s="47">
        <v>564</v>
      </c>
      <c r="D167" s="47">
        <v>244</v>
      </c>
      <c r="E167" s="47">
        <v>279405</v>
      </c>
      <c r="F167" s="48">
        <v>8.43</v>
      </c>
      <c r="G167" s="49">
        <v>26024</v>
      </c>
      <c r="H167" s="50">
        <f t="shared" si="2"/>
        <v>320</v>
      </c>
    </row>
    <row r="168" spans="1:8" ht="15.75" customHeight="1">
      <c r="A168" s="51">
        <v>45831</v>
      </c>
      <c r="B168" s="52" t="s">
        <v>22</v>
      </c>
      <c r="C168" s="53">
        <v>668</v>
      </c>
      <c r="D168" s="53">
        <v>124</v>
      </c>
      <c r="E168" s="53">
        <v>257485</v>
      </c>
      <c r="F168" s="54">
        <v>7.55</v>
      </c>
      <c r="G168" s="55">
        <v>26730</v>
      </c>
      <c r="H168" s="56">
        <f t="shared" si="2"/>
        <v>544</v>
      </c>
    </row>
    <row r="169" spans="1:8" ht="15.75" customHeight="1">
      <c r="A169" s="45">
        <v>45831</v>
      </c>
      <c r="B169" s="46" t="s">
        <v>27</v>
      </c>
      <c r="C169" s="47">
        <v>761</v>
      </c>
      <c r="D169" s="47">
        <v>241</v>
      </c>
      <c r="E169" s="47">
        <v>154977</v>
      </c>
      <c r="F169" s="48">
        <v>5.63</v>
      </c>
      <c r="G169" s="49">
        <v>10563</v>
      </c>
      <c r="H169" s="50">
        <f t="shared" si="2"/>
        <v>520</v>
      </c>
    </row>
    <row r="170" spans="1:8" ht="15.75" customHeight="1">
      <c r="A170" s="51">
        <v>45838</v>
      </c>
      <c r="B170" s="52" t="s">
        <v>13</v>
      </c>
      <c r="C170" s="53">
        <v>593</v>
      </c>
      <c r="D170" s="53">
        <v>108</v>
      </c>
      <c r="E170" s="53">
        <v>216500</v>
      </c>
      <c r="F170" s="54">
        <v>4.71</v>
      </c>
      <c r="G170" s="55">
        <v>27575</v>
      </c>
      <c r="H170" s="56">
        <f t="shared" si="2"/>
        <v>485</v>
      </c>
    </row>
    <row r="171" spans="1:8" ht="15.75" customHeight="1">
      <c r="A171" s="45">
        <v>45838</v>
      </c>
      <c r="B171" s="46" t="s">
        <v>22</v>
      </c>
      <c r="C171" s="47">
        <v>1349</v>
      </c>
      <c r="D171" s="47">
        <v>115</v>
      </c>
      <c r="E171" s="47">
        <v>102102</v>
      </c>
      <c r="F171" s="48">
        <v>5.28</v>
      </c>
      <c r="G171" s="49">
        <v>14479</v>
      </c>
      <c r="H171" s="50">
        <f t="shared" si="2"/>
        <v>1234</v>
      </c>
    </row>
    <row r="172" spans="1:8" ht="15.75" customHeight="1">
      <c r="A172" s="51">
        <v>45838</v>
      </c>
      <c r="B172" s="52" t="s">
        <v>27</v>
      </c>
      <c r="C172" s="53">
        <v>693</v>
      </c>
      <c r="D172" s="53">
        <v>97</v>
      </c>
      <c r="E172" s="53">
        <v>92025</v>
      </c>
      <c r="F172" s="54">
        <v>5.95</v>
      </c>
      <c r="G172" s="55">
        <v>15915</v>
      </c>
      <c r="H172" s="56">
        <f t="shared" si="2"/>
        <v>596</v>
      </c>
    </row>
    <row r="173" spans="1:8" ht="15.75" customHeight="1">
      <c r="A173" s="45">
        <v>45845</v>
      </c>
      <c r="B173" s="46" t="s">
        <v>13</v>
      </c>
      <c r="C173" s="47">
        <v>974</v>
      </c>
      <c r="D173" s="47">
        <v>143</v>
      </c>
      <c r="E173" s="47">
        <v>247965</v>
      </c>
      <c r="F173" s="48">
        <v>9.98</v>
      </c>
      <c r="G173" s="49">
        <v>12767</v>
      </c>
      <c r="H173" s="50">
        <f t="shared" si="2"/>
        <v>831</v>
      </c>
    </row>
    <row r="174" spans="1:8" ht="15.75" customHeight="1">
      <c r="A174" s="51">
        <v>45845</v>
      </c>
      <c r="B174" s="52" t="s">
        <v>22</v>
      </c>
      <c r="C174" s="53">
        <v>1155</v>
      </c>
      <c r="D174" s="53">
        <v>122</v>
      </c>
      <c r="E174" s="53">
        <v>387352</v>
      </c>
      <c r="F174" s="54">
        <v>9.93</v>
      </c>
      <c r="G174" s="55">
        <v>12170</v>
      </c>
      <c r="H174" s="56">
        <f t="shared" si="2"/>
        <v>1033</v>
      </c>
    </row>
    <row r="175" spans="1:8" ht="15.75" customHeight="1">
      <c r="A175" s="45">
        <v>45845</v>
      </c>
      <c r="B175" s="46" t="s">
        <v>27</v>
      </c>
      <c r="C175" s="47">
        <v>1051</v>
      </c>
      <c r="D175" s="47">
        <v>246</v>
      </c>
      <c r="E175" s="47">
        <v>253985</v>
      </c>
      <c r="F175" s="48">
        <v>9.08</v>
      </c>
      <c r="G175" s="49">
        <v>7245</v>
      </c>
      <c r="H175" s="50">
        <f t="shared" si="2"/>
        <v>805</v>
      </c>
    </row>
    <row r="176" spans="1:8" ht="15.75" customHeight="1">
      <c r="A176" s="51">
        <v>45852</v>
      </c>
      <c r="B176" s="52" t="s">
        <v>13</v>
      </c>
      <c r="C176" s="53">
        <v>1457</v>
      </c>
      <c r="D176" s="53">
        <v>183</v>
      </c>
      <c r="E176" s="53">
        <v>129640</v>
      </c>
      <c r="F176" s="54">
        <v>7.98</v>
      </c>
      <c r="G176" s="55">
        <v>12985</v>
      </c>
      <c r="H176" s="56">
        <f t="shared" si="2"/>
        <v>1274</v>
      </c>
    </row>
    <row r="177" spans="1:8" ht="15.75" customHeight="1">
      <c r="A177" s="45">
        <v>45852</v>
      </c>
      <c r="B177" s="46" t="s">
        <v>22</v>
      </c>
      <c r="C177" s="47">
        <v>670</v>
      </c>
      <c r="D177" s="47">
        <v>242</v>
      </c>
      <c r="E177" s="47">
        <v>281913</v>
      </c>
      <c r="F177" s="48">
        <v>9.6199999999999992</v>
      </c>
      <c r="G177" s="49">
        <v>16377</v>
      </c>
      <c r="H177" s="50">
        <f t="shared" si="2"/>
        <v>428</v>
      </c>
    </row>
    <row r="178" spans="1:8" ht="15.75" customHeight="1">
      <c r="A178" s="51">
        <v>45852</v>
      </c>
      <c r="B178" s="52" t="s">
        <v>27</v>
      </c>
      <c r="C178" s="53">
        <v>1111</v>
      </c>
      <c r="D178" s="53">
        <v>159</v>
      </c>
      <c r="E178" s="53">
        <v>360770</v>
      </c>
      <c r="F178" s="54">
        <v>8.7100000000000009</v>
      </c>
      <c r="G178" s="55">
        <v>11453</v>
      </c>
      <c r="H178" s="56">
        <f t="shared" si="2"/>
        <v>952</v>
      </c>
    </row>
    <row r="179" spans="1:8" ht="15.75" customHeight="1">
      <c r="A179" s="45">
        <v>45859</v>
      </c>
      <c r="B179" s="46" t="s">
        <v>13</v>
      </c>
      <c r="C179" s="47">
        <v>1197</v>
      </c>
      <c r="D179" s="47">
        <v>246</v>
      </c>
      <c r="E179" s="47">
        <v>127273</v>
      </c>
      <c r="F179" s="48">
        <v>6.69</v>
      </c>
      <c r="G179" s="49">
        <v>12323</v>
      </c>
      <c r="H179" s="50">
        <f t="shared" si="2"/>
        <v>951</v>
      </c>
    </row>
    <row r="180" spans="1:8" ht="15.75" customHeight="1">
      <c r="A180" s="51">
        <v>45859</v>
      </c>
      <c r="B180" s="52" t="s">
        <v>22</v>
      </c>
      <c r="C180" s="53">
        <v>754</v>
      </c>
      <c r="D180" s="53">
        <v>150</v>
      </c>
      <c r="E180" s="53">
        <v>189622</v>
      </c>
      <c r="F180" s="54">
        <v>4.25</v>
      </c>
      <c r="G180" s="55">
        <v>11911</v>
      </c>
      <c r="H180" s="56">
        <f t="shared" si="2"/>
        <v>604</v>
      </c>
    </row>
    <row r="181" spans="1:8" ht="15.75" customHeight="1">
      <c r="A181" s="45">
        <v>45859</v>
      </c>
      <c r="B181" s="46" t="s">
        <v>27</v>
      </c>
      <c r="C181" s="47">
        <v>1246</v>
      </c>
      <c r="D181" s="47">
        <v>107</v>
      </c>
      <c r="E181" s="47">
        <v>350949</v>
      </c>
      <c r="F181" s="48">
        <v>4.9800000000000004</v>
      </c>
      <c r="G181" s="49">
        <v>27809</v>
      </c>
      <c r="H181" s="50">
        <f t="shared" si="2"/>
        <v>1139</v>
      </c>
    </row>
    <row r="182" spans="1:8" ht="15.75" customHeight="1">
      <c r="A182" s="51">
        <v>45866</v>
      </c>
      <c r="B182" s="52" t="s">
        <v>13</v>
      </c>
      <c r="C182" s="53">
        <v>780</v>
      </c>
      <c r="D182" s="53">
        <v>213</v>
      </c>
      <c r="E182" s="53">
        <v>121431</v>
      </c>
      <c r="F182" s="54">
        <v>4.97</v>
      </c>
      <c r="G182" s="55">
        <v>21464</v>
      </c>
      <c r="H182" s="56">
        <f t="shared" si="2"/>
        <v>567</v>
      </c>
    </row>
    <row r="183" spans="1:8" ht="15.75" customHeight="1">
      <c r="A183" s="45">
        <v>45866</v>
      </c>
      <c r="B183" s="46" t="s">
        <v>22</v>
      </c>
      <c r="C183" s="47">
        <v>1425</v>
      </c>
      <c r="D183" s="47">
        <v>143</v>
      </c>
      <c r="E183" s="47">
        <v>116742</v>
      </c>
      <c r="F183" s="48">
        <v>3.71</v>
      </c>
      <c r="G183" s="49">
        <v>27126</v>
      </c>
      <c r="H183" s="50">
        <f t="shared" si="2"/>
        <v>1282</v>
      </c>
    </row>
    <row r="184" spans="1:8" ht="15.75" customHeight="1">
      <c r="A184" s="51">
        <v>45866</v>
      </c>
      <c r="B184" s="52" t="s">
        <v>27</v>
      </c>
      <c r="C184" s="53">
        <v>1490</v>
      </c>
      <c r="D184" s="53">
        <v>103</v>
      </c>
      <c r="E184" s="53">
        <v>81184</v>
      </c>
      <c r="F184" s="54">
        <v>7.79</v>
      </c>
      <c r="G184" s="55">
        <v>10681</v>
      </c>
      <c r="H184" s="56">
        <f t="shared" si="2"/>
        <v>1387</v>
      </c>
    </row>
    <row r="185" spans="1:8" ht="15.75" customHeight="1">
      <c r="A185" s="45">
        <v>45873</v>
      </c>
      <c r="B185" s="46" t="s">
        <v>13</v>
      </c>
      <c r="C185" s="47">
        <v>949</v>
      </c>
      <c r="D185" s="47">
        <v>282</v>
      </c>
      <c r="E185" s="47">
        <v>87126</v>
      </c>
      <c r="F185" s="48">
        <v>4.96</v>
      </c>
      <c r="G185" s="49">
        <v>5413</v>
      </c>
      <c r="H185" s="50">
        <f t="shared" si="2"/>
        <v>667</v>
      </c>
    </row>
    <row r="186" spans="1:8" ht="15.75" customHeight="1">
      <c r="A186" s="51">
        <v>45873</v>
      </c>
      <c r="B186" s="52" t="s">
        <v>22</v>
      </c>
      <c r="C186" s="53">
        <v>640</v>
      </c>
      <c r="D186" s="53">
        <v>141</v>
      </c>
      <c r="E186" s="53">
        <v>267546</v>
      </c>
      <c r="F186" s="54">
        <v>8.58</v>
      </c>
      <c r="G186" s="55">
        <v>25058</v>
      </c>
      <c r="H186" s="56">
        <f t="shared" si="2"/>
        <v>499</v>
      </c>
    </row>
    <row r="187" spans="1:8" ht="15.75" customHeight="1">
      <c r="A187" s="45">
        <v>45873</v>
      </c>
      <c r="B187" s="46" t="s">
        <v>27</v>
      </c>
      <c r="C187" s="47">
        <v>616</v>
      </c>
      <c r="D187" s="47">
        <v>93</v>
      </c>
      <c r="E187" s="47">
        <v>133082</v>
      </c>
      <c r="F187" s="48">
        <v>8.51</v>
      </c>
      <c r="G187" s="49">
        <v>18303</v>
      </c>
      <c r="H187" s="50">
        <f t="shared" si="2"/>
        <v>523</v>
      </c>
    </row>
    <row r="188" spans="1:8" ht="15.75" customHeight="1">
      <c r="A188" s="51">
        <v>45880</v>
      </c>
      <c r="B188" s="52" t="s">
        <v>13</v>
      </c>
      <c r="C188" s="53">
        <v>1080</v>
      </c>
      <c r="D188" s="53">
        <v>184</v>
      </c>
      <c r="E188" s="53">
        <v>340557</v>
      </c>
      <c r="F188" s="54">
        <v>5.41</v>
      </c>
      <c r="G188" s="55">
        <v>5526</v>
      </c>
      <c r="H188" s="56">
        <f t="shared" si="2"/>
        <v>896</v>
      </c>
    </row>
    <row r="189" spans="1:8" ht="15.75" customHeight="1">
      <c r="A189" s="45">
        <v>45880</v>
      </c>
      <c r="B189" s="46" t="s">
        <v>22</v>
      </c>
      <c r="C189" s="47">
        <v>938</v>
      </c>
      <c r="D189" s="47">
        <v>236</v>
      </c>
      <c r="E189" s="47">
        <v>116472</v>
      </c>
      <c r="F189" s="48">
        <v>8.7200000000000006</v>
      </c>
      <c r="G189" s="49">
        <v>17460</v>
      </c>
      <c r="H189" s="50">
        <f t="shared" si="2"/>
        <v>702</v>
      </c>
    </row>
    <row r="190" spans="1:8" ht="15.75" customHeight="1">
      <c r="A190" s="51">
        <v>45880</v>
      </c>
      <c r="B190" s="52" t="s">
        <v>27</v>
      </c>
      <c r="C190" s="53">
        <v>1007</v>
      </c>
      <c r="D190" s="53">
        <v>258</v>
      </c>
      <c r="E190" s="53">
        <v>113412</v>
      </c>
      <c r="F190" s="54">
        <v>7.71</v>
      </c>
      <c r="G190" s="55">
        <v>14475</v>
      </c>
      <c r="H190" s="56">
        <f t="shared" si="2"/>
        <v>749</v>
      </c>
    </row>
    <row r="191" spans="1:8" ht="15.75" customHeight="1">
      <c r="A191" s="45">
        <v>45887</v>
      </c>
      <c r="B191" s="46" t="s">
        <v>13</v>
      </c>
      <c r="C191" s="47">
        <v>541</v>
      </c>
      <c r="D191" s="47">
        <v>208</v>
      </c>
      <c r="E191" s="47">
        <v>157547</v>
      </c>
      <c r="F191" s="48">
        <v>8.35</v>
      </c>
      <c r="G191" s="49">
        <v>20162</v>
      </c>
      <c r="H191" s="50">
        <f t="shared" si="2"/>
        <v>333</v>
      </c>
    </row>
    <row r="192" spans="1:8" ht="15.75" customHeight="1">
      <c r="A192" s="51">
        <v>45887</v>
      </c>
      <c r="B192" s="52" t="s">
        <v>22</v>
      </c>
      <c r="C192" s="53">
        <v>745</v>
      </c>
      <c r="D192" s="53">
        <v>98</v>
      </c>
      <c r="E192" s="53">
        <v>354816</v>
      </c>
      <c r="F192" s="54">
        <v>4.03</v>
      </c>
      <c r="G192" s="55">
        <v>17103</v>
      </c>
      <c r="H192" s="56">
        <f t="shared" si="2"/>
        <v>647</v>
      </c>
    </row>
    <row r="193" spans="1:8" ht="15.75" customHeight="1">
      <c r="A193" s="45">
        <v>45887</v>
      </c>
      <c r="B193" s="46" t="s">
        <v>27</v>
      </c>
      <c r="C193" s="47">
        <v>936</v>
      </c>
      <c r="D193" s="47">
        <v>97</v>
      </c>
      <c r="E193" s="47">
        <v>151799</v>
      </c>
      <c r="F193" s="48">
        <v>9.3699999999999992</v>
      </c>
      <c r="G193" s="49">
        <v>15461</v>
      </c>
      <c r="H193" s="50">
        <f t="shared" si="2"/>
        <v>839</v>
      </c>
    </row>
    <row r="194" spans="1:8" ht="15.75" customHeight="1">
      <c r="A194" s="51">
        <v>45894</v>
      </c>
      <c r="B194" s="52" t="s">
        <v>13</v>
      </c>
      <c r="C194" s="53">
        <v>1183</v>
      </c>
      <c r="D194" s="53">
        <v>223</v>
      </c>
      <c r="E194" s="53">
        <v>143811</v>
      </c>
      <c r="F194" s="54">
        <v>6.07</v>
      </c>
      <c r="G194" s="55">
        <v>22103</v>
      </c>
      <c r="H194" s="56">
        <f t="shared" si="2"/>
        <v>960</v>
      </c>
    </row>
    <row r="195" spans="1:8" ht="15.75" customHeight="1">
      <c r="A195" s="45">
        <v>45894</v>
      </c>
      <c r="B195" s="46" t="s">
        <v>22</v>
      </c>
      <c r="C195" s="47">
        <v>1413</v>
      </c>
      <c r="D195" s="47">
        <v>245</v>
      </c>
      <c r="E195" s="47">
        <v>296450</v>
      </c>
      <c r="F195" s="48">
        <v>6.52</v>
      </c>
      <c r="G195" s="49">
        <v>11625</v>
      </c>
      <c r="H195" s="50">
        <f t="shared" ref="H195:H201" si="3">C195-D195</f>
        <v>1168</v>
      </c>
    </row>
    <row r="196" spans="1:8" ht="15.75" customHeight="1">
      <c r="A196" s="51">
        <v>45894</v>
      </c>
      <c r="B196" s="52" t="s">
        <v>27</v>
      </c>
      <c r="C196" s="53">
        <v>791</v>
      </c>
      <c r="D196" s="53">
        <v>273</v>
      </c>
      <c r="E196" s="53">
        <v>144049</v>
      </c>
      <c r="F196" s="54">
        <v>3.08</v>
      </c>
      <c r="G196" s="55">
        <v>5281</v>
      </c>
      <c r="H196" s="56">
        <f t="shared" si="3"/>
        <v>518</v>
      </c>
    </row>
    <row r="197" spans="1:8" ht="15.75" customHeight="1">
      <c r="A197" s="45">
        <v>45901</v>
      </c>
      <c r="B197" s="46" t="s">
        <v>13</v>
      </c>
      <c r="C197" s="47">
        <v>1052</v>
      </c>
      <c r="D197" s="47">
        <v>180</v>
      </c>
      <c r="E197" s="47">
        <v>272534</v>
      </c>
      <c r="F197" s="48">
        <v>5.34</v>
      </c>
      <c r="G197" s="49">
        <v>13424</v>
      </c>
      <c r="H197" s="50">
        <f t="shared" si="3"/>
        <v>872</v>
      </c>
    </row>
    <row r="198" spans="1:8" ht="15.75" customHeight="1">
      <c r="A198" s="51">
        <v>45901</v>
      </c>
      <c r="B198" s="52" t="s">
        <v>22</v>
      </c>
      <c r="C198" s="53">
        <v>572</v>
      </c>
      <c r="D198" s="53">
        <v>270</v>
      </c>
      <c r="E198" s="53">
        <v>82265</v>
      </c>
      <c r="F198" s="54">
        <v>3.65</v>
      </c>
      <c r="G198" s="55">
        <v>13140</v>
      </c>
      <c r="H198" s="56">
        <f t="shared" si="3"/>
        <v>302</v>
      </c>
    </row>
    <row r="199" spans="1:8" ht="15.75" customHeight="1">
      <c r="A199" s="45">
        <v>45901</v>
      </c>
      <c r="B199" s="46" t="s">
        <v>27</v>
      </c>
      <c r="C199" s="47">
        <v>503</v>
      </c>
      <c r="D199" s="47">
        <v>253</v>
      </c>
      <c r="E199" s="47">
        <v>313562</v>
      </c>
      <c r="F199" s="48">
        <v>4.18</v>
      </c>
      <c r="G199" s="49">
        <v>19538</v>
      </c>
      <c r="H199" s="50">
        <f t="shared" si="3"/>
        <v>250</v>
      </c>
    </row>
    <row r="200" spans="1:8" ht="15.75" customHeight="1">
      <c r="A200" s="51">
        <v>45908</v>
      </c>
      <c r="B200" s="52" t="s">
        <v>13</v>
      </c>
      <c r="C200" s="53">
        <v>1017</v>
      </c>
      <c r="D200" s="53">
        <v>197</v>
      </c>
      <c r="E200" s="53">
        <v>89918</v>
      </c>
      <c r="F200" s="54">
        <v>3.91</v>
      </c>
      <c r="G200" s="55">
        <v>7881</v>
      </c>
      <c r="H200" s="56">
        <f t="shared" si="3"/>
        <v>820</v>
      </c>
    </row>
    <row r="201" spans="1:8" ht="15.75" customHeight="1">
      <c r="A201" s="57">
        <v>45908</v>
      </c>
      <c r="B201" s="58" t="s">
        <v>22</v>
      </c>
      <c r="C201" s="59">
        <v>860</v>
      </c>
      <c r="D201" s="59">
        <v>244</v>
      </c>
      <c r="E201" s="59">
        <v>348686</v>
      </c>
      <c r="F201" s="60">
        <v>5.12</v>
      </c>
      <c r="G201" s="61">
        <v>11418</v>
      </c>
      <c r="H201" s="50">
        <f t="shared" si="3"/>
        <v>616</v>
      </c>
    </row>
    <row r="202" spans="1:8" ht="15.75" customHeight="1"/>
    <row r="203" spans="1:8" ht="15.75" customHeight="1"/>
    <row r="204" spans="1:8" ht="15.75" customHeight="1"/>
    <row r="205" spans="1:8" ht="15.75" customHeight="1"/>
    <row r="206" spans="1:8" ht="15.75" customHeight="1"/>
    <row r="207" spans="1:8" ht="15.75" customHeight="1"/>
    <row r="208" spans="1: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13245-C6E0-40A5-92B4-0CC40F230AE9}">
  <dimension ref="A3:E70"/>
  <sheetViews>
    <sheetView workbookViewId="0">
      <selection activeCell="B10" sqref="B10"/>
    </sheetView>
  </sheetViews>
  <sheetFormatPr defaultRowHeight="14.4"/>
  <cols>
    <col min="1" max="1" width="10.33203125" style="14" bestFit="1" customWidth="1"/>
    <col min="2" max="2" width="26.5546875" style="14" bestFit="1" customWidth="1"/>
    <col min="3" max="3" width="6.88671875" style="14" bestFit="1" customWidth="1"/>
    <col min="4" max="4" width="32.77734375" style="14" customWidth="1"/>
    <col min="5" max="5" width="14.77734375" style="14" customWidth="1"/>
    <col min="6" max="16384" width="8.88671875" style="14"/>
  </cols>
  <sheetData>
    <row r="3" spans="1:5">
      <c r="A3" s="72" t="s">
        <v>351</v>
      </c>
      <c r="B3" s="73" t="s">
        <v>350</v>
      </c>
    </row>
    <row r="4" spans="1:5">
      <c r="A4" s="74">
        <v>45446</v>
      </c>
      <c r="B4" s="75">
        <v>3419</v>
      </c>
    </row>
    <row r="5" spans="1:5" ht="15" thickBot="1">
      <c r="A5" s="74">
        <v>45453</v>
      </c>
      <c r="B5" s="75">
        <v>2777</v>
      </c>
      <c r="D5" s="78" t="s">
        <v>352</v>
      </c>
      <c r="E5" s="79" t="s">
        <v>353</v>
      </c>
    </row>
    <row r="6" spans="1:5" ht="15" thickTop="1">
      <c r="A6" s="74">
        <v>45460</v>
      </c>
      <c r="B6" s="75">
        <v>3175</v>
      </c>
      <c r="D6" s="80">
        <f>INDEX(A4:A100, MATCH(E6, B4:B100, 0))</f>
        <v>45600</v>
      </c>
      <c r="E6" s="81">
        <f>MAX(B4:B70)</f>
        <v>3576</v>
      </c>
    </row>
    <row r="7" spans="1:5">
      <c r="A7" s="74">
        <v>45467</v>
      </c>
      <c r="B7" s="75">
        <v>2433</v>
      </c>
    </row>
    <row r="8" spans="1:5">
      <c r="A8" s="74">
        <v>45474</v>
      </c>
      <c r="B8" s="75">
        <v>2426</v>
      </c>
    </row>
    <row r="9" spans="1:5">
      <c r="A9" s="74">
        <v>45481</v>
      </c>
      <c r="B9" s="75">
        <v>3155</v>
      </c>
    </row>
    <row r="10" spans="1:5">
      <c r="A10" s="74">
        <v>45488</v>
      </c>
      <c r="B10" s="75">
        <v>2369</v>
      </c>
    </row>
    <row r="11" spans="1:5">
      <c r="A11" s="74">
        <v>45495</v>
      </c>
      <c r="B11" s="75">
        <v>2281</v>
      </c>
    </row>
    <row r="12" spans="1:5">
      <c r="A12" s="74">
        <v>45502</v>
      </c>
      <c r="B12" s="75">
        <v>2132</v>
      </c>
    </row>
    <row r="13" spans="1:5">
      <c r="A13" s="74">
        <v>45509</v>
      </c>
      <c r="B13" s="75">
        <v>2693</v>
      </c>
    </row>
    <row r="14" spans="1:5">
      <c r="A14" s="74">
        <v>45516</v>
      </c>
      <c r="B14" s="75">
        <v>3072</v>
      </c>
    </row>
    <row r="15" spans="1:5">
      <c r="A15" s="74">
        <v>45523</v>
      </c>
      <c r="B15" s="75">
        <v>2300</v>
      </c>
    </row>
    <row r="16" spans="1:5">
      <c r="A16" s="74">
        <v>45530</v>
      </c>
      <c r="B16" s="75">
        <v>2450</v>
      </c>
    </row>
    <row r="17" spans="1:2">
      <c r="A17" s="74">
        <v>45537</v>
      </c>
      <c r="B17" s="75">
        <v>2502</v>
      </c>
    </row>
    <row r="18" spans="1:2">
      <c r="A18" s="74">
        <v>45544</v>
      </c>
      <c r="B18" s="75">
        <v>2630</v>
      </c>
    </row>
    <row r="19" spans="1:2">
      <c r="A19" s="74">
        <v>45551</v>
      </c>
      <c r="B19" s="75">
        <v>2162</v>
      </c>
    </row>
    <row r="20" spans="1:2">
      <c r="A20" s="74">
        <v>45558</v>
      </c>
      <c r="B20" s="75">
        <v>2785</v>
      </c>
    </row>
    <row r="21" spans="1:2">
      <c r="A21" s="74">
        <v>45565</v>
      </c>
      <c r="B21" s="75">
        <v>3151</v>
      </c>
    </row>
    <row r="22" spans="1:2">
      <c r="A22" s="74">
        <v>45572</v>
      </c>
      <c r="B22" s="75">
        <v>2338</v>
      </c>
    </row>
    <row r="23" spans="1:2">
      <c r="A23" s="74">
        <v>45579</v>
      </c>
      <c r="B23" s="75">
        <v>2670</v>
      </c>
    </row>
    <row r="24" spans="1:2">
      <c r="A24" s="74">
        <v>45586</v>
      </c>
      <c r="B24" s="75">
        <v>2792</v>
      </c>
    </row>
    <row r="25" spans="1:2">
      <c r="A25" s="74">
        <v>45593</v>
      </c>
      <c r="B25" s="75">
        <v>2181</v>
      </c>
    </row>
    <row r="26" spans="1:2">
      <c r="A26" s="74">
        <v>45600</v>
      </c>
      <c r="B26" s="75">
        <v>3576</v>
      </c>
    </row>
    <row r="27" spans="1:2">
      <c r="A27" s="74">
        <v>45607</v>
      </c>
      <c r="B27" s="75">
        <v>2794</v>
      </c>
    </row>
    <row r="28" spans="1:2">
      <c r="A28" s="74">
        <v>45614</v>
      </c>
      <c r="B28" s="75">
        <v>1935</v>
      </c>
    </row>
    <row r="29" spans="1:2">
      <c r="A29" s="74">
        <v>45621</v>
      </c>
      <c r="B29" s="75">
        <v>2287</v>
      </c>
    </row>
    <row r="30" spans="1:2">
      <c r="A30" s="74">
        <v>45628</v>
      </c>
      <c r="B30" s="75">
        <v>2383</v>
      </c>
    </row>
    <row r="31" spans="1:2">
      <c r="A31" s="74">
        <v>45635</v>
      </c>
      <c r="B31" s="75">
        <v>1398</v>
      </c>
    </row>
    <row r="32" spans="1:2">
      <c r="A32" s="74">
        <v>45642</v>
      </c>
      <c r="B32" s="75">
        <v>2693</v>
      </c>
    </row>
    <row r="33" spans="1:2">
      <c r="A33" s="74">
        <v>45649</v>
      </c>
      <c r="B33" s="75">
        <v>2550</v>
      </c>
    </row>
    <row r="34" spans="1:2">
      <c r="A34" s="74">
        <v>45656</v>
      </c>
      <c r="B34" s="75">
        <v>2337</v>
      </c>
    </row>
    <row r="35" spans="1:2">
      <c r="A35" s="74">
        <v>45663</v>
      </c>
      <c r="B35" s="75">
        <v>2451</v>
      </c>
    </row>
    <row r="36" spans="1:2">
      <c r="A36" s="74">
        <v>45670</v>
      </c>
      <c r="B36" s="75">
        <v>2341</v>
      </c>
    </row>
    <row r="37" spans="1:2">
      <c r="A37" s="74">
        <v>45677</v>
      </c>
      <c r="B37" s="75">
        <v>1832</v>
      </c>
    </row>
    <row r="38" spans="1:2">
      <c r="A38" s="74">
        <v>45684</v>
      </c>
      <c r="B38" s="75">
        <v>1928</v>
      </c>
    </row>
    <row r="39" spans="1:2">
      <c r="A39" s="74">
        <v>45691</v>
      </c>
      <c r="B39" s="75">
        <v>1680</v>
      </c>
    </row>
    <row r="40" spans="1:2">
      <c r="A40" s="74">
        <v>45698</v>
      </c>
      <c r="B40" s="75">
        <v>2361</v>
      </c>
    </row>
    <row r="41" spans="1:2">
      <c r="A41" s="74">
        <v>45705</v>
      </c>
      <c r="B41" s="75">
        <v>1543</v>
      </c>
    </row>
    <row r="42" spans="1:2">
      <c r="A42" s="74">
        <v>45712</v>
      </c>
      <c r="B42" s="75">
        <v>1713</v>
      </c>
    </row>
    <row r="43" spans="1:2">
      <c r="A43" s="74">
        <v>45719</v>
      </c>
      <c r="B43" s="75">
        <v>2763</v>
      </c>
    </row>
    <row r="44" spans="1:2">
      <c r="A44" s="74">
        <v>45726</v>
      </c>
      <c r="B44" s="75">
        <v>2315</v>
      </c>
    </row>
    <row r="45" spans="1:2">
      <c r="A45" s="74">
        <v>45733</v>
      </c>
      <c r="B45" s="75">
        <v>2188</v>
      </c>
    </row>
    <row r="46" spans="1:2">
      <c r="A46" s="74">
        <v>45740</v>
      </c>
      <c r="B46" s="75">
        <v>2679</v>
      </c>
    </row>
    <row r="47" spans="1:2">
      <c r="A47" s="74">
        <v>45747</v>
      </c>
      <c r="B47" s="75">
        <v>2781</v>
      </c>
    </row>
    <row r="48" spans="1:2">
      <c r="A48" s="74">
        <v>45754</v>
      </c>
      <c r="B48" s="75">
        <v>3291</v>
      </c>
    </row>
    <row r="49" spans="1:2">
      <c r="A49" s="74">
        <v>45761</v>
      </c>
      <c r="B49" s="75">
        <v>3216</v>
      </c>
    </row>
    <row r="50" spans="1:2">
      <c r="A50" s="74">
        <v>45768</v>
      </c>
      <c r="B50" s="75">
        <v>1728</v>
      </c>
    </row>
    <row r="51" spans="1:2">
      <c r="A51" s="74">
        <v>45775</v>
      </c>
      <c r="B51" s="75">
        <v>2378</v>
      </c>
    </row>
    <row r="52" spans="1:2">
      <c r="A52" s="74">
        <v>45782</v>
      </c>
      <c r="B52" s="75">
        <v>2054</v>
      </c>
    </row>
    <row r="53" spans="1:2">
      <c r="A53" s="74">
        <v>45789</v>
      </c>
      <c r="B53" s="75">
        <v>1400</v>
      </c>
    </row>
    <row r="54" spans="1:2">
      <c r="A54" s="74">
        <v>45796</v>
      </c>
      <c r="B54" s="75">
        <v>3569</v>
      </c>
    </row>
    <row r="55" spans="1:2">
      <c r="A55" s="74">
        <v>45803</v>
      </c>
      <c r="B55" s="75">
        <v>2909</v>
      </c>
    </row>
    <row r="56" spans="1:2">
      <c r="A56" s="74">
        <v>45810</v>
      </c>
      <c r="B56" s="75">
        <v>2049</v>
      </c>
    </row>
    <row r="57" spans="1:2">
      <c r="A57" s="74">
        <v>45817</v>
      </c>
      <c r="B57" s="75">
        <v>2243</v>
      </c>
    </row>
    <row r="58" spans="1:2">
      <c r="A58" s="74">
        <v>45824</v>
      </c>
      <c r="B58" s="75">
        <v>2017</v>
      </c>
    </row>
    <row r="59" spans="1:2">
      <c r="A59" s="74">
        <v>45831</v>
      </c>
      <c r="B59" s="75">
        <v>1384</v>
      </c>
    </row>
    <row r="60" spans="1:2">
      <c r="A60" s="74">
        <v>45838</v>
      </c>
      <c r="B60" s="75">
        <v>2315</v>
      </c>
    </row>
    <row r="61" spans="1:2">
      <c r="A61" s="74">
        <v>45845</v>
      </c>
      <c r="B61" s="75">
        <v>2669</v>
      </c>
    </row>
    <row r="62" spans="1:2">
      <c r="A62" s="74">
        <v>45852</v>
      </c>
      <c r="B62" s="75">
        <v>2654</v>
      </c>
    </row>
    <row r="63" spans="1:2">
      <c r="A63" s="74">
        <v>45859</v>
      </c>
      <c r="B63" s="75">
        <v>2694</v>
      </c>
    </row>
    <row r="64" spans="1:2">
      <c r="A64" s="74">
        <v>45866</v>
      </c>
      <c r="B64" s="75">
        <v>3236</v>
      </c>
    </row>
    <row r="65" spans="1:2">
      <c r="A65" s="74">
        <v>45873</v>
      </c>
      <c r="B65" s="75">
        <v>1689</v>
      </c>
    </row>
    <row r="66" spans="1:2">
      <c r="A66" s="74">
        <v>45880</v>
      </c>
      <c r="B66" s="75">
        <v>2347</v>
      </c>
    </row>
    <row r="67" spans="1:2">
      <c r="A67" s="74">
        <v>45887</v>
      </c>
      <c r="B67" s="75">
        <v>1819</v>
      </c>
    </row>
    <row r="68" spans="1:2">
      <c r="A68" s="74">
        <v>45894</v>
      </c>
      <c r="B68" s="75">
        <v>2646</v>
      </c>
    </row>
    <row r="69" spans="1:2">
      <c r="A69" s="74">
        <v>45901</v>
      </c>
      <c r="B69" s="75">
        <v>1424</v>
      </c>
    </row>
    <row r="70" spans="1:2">
      <c r="A70" s="76">
        <v>45908</v>
      </c>
      <c r="B70" s="77">
        <v>1436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78850-6EE0-4AEC-952A-6039F1A96D43}">
  <dimension ref="A1:C68"/>
  <sheetViews>
    <sheetView workbookViewId="0">
      <selection activeCell="G25" sqref="G25"/>
    </sheetView>
  </sheetViews>
  <sheetFormatPr defaultRowHeight="14.4"/>
  <cols>
    <col min="1" max="1" width="10.33203125" style="15" bestFit="1" customWidth="1"/>
    <col min="2" max="2" width="28" style="14" customWidth="1"/>
    <col min="3" max="3" width="17.21875" style="14" customWidth="1"/>
    <col min="4" max="16384" width="8.88671875" style="14"/>
  </cols>
  <sheetData>
    <row r="1" spans="1:3" ht="15" thickBot="1">
      <c r="A1" s="66" t="s">
        <v>351</v>
      </c>
      <c r="B1" s="65" t="s">
        <v>350</v>
      </c>
      <c r="C1" s="65" t="s">
        <v>354</v>
      </c>
    </row>
    <row r="2" spans="1:3" ht="15" thickTop="1">
      <c r="A2" s="67">
        <v>45446</v>
      </c>
      <c r="B2" s="62">
        <v>3419</v>
      </c>
      <c r="C2" s="62">
        <v>3419</v>
      </c>
    </row>
    <row r="3" spans="1:3">
      <c r="A3" s="68">
        <v>45453</v>
      </c>
      <c r="B3" s="63">
        <v>2777</v>
      </c>
      <c r="C3" s="63">
        <f>AVERAGE(B2:B3)</f>
        <v>3098</v>
      </c>
    </row>
    <row r="4" spans="1:3">
      <c r="A4" s="69">
        <v>45460</v>
      </c>
      <c r="B4" s="64">
        <v>3175</v>
      </c>
      <c r="C4" s="64">
        <f>AVERAGE(B3:B5)</f>
        <v>2795</v>
      </c>
    </row>
    <row r="5" spans="1:3">
      <c r="A5" s="68">
        <v>45467</v>
      </c>
      <c r="B5" s="63">
        <v>2433</v>
      </c>
      <c r="C5" s="63">
        <f t="shared" ref="C5:C67" si="0">AVERAGE(B4:B5)</f>
        <v>2804</v>
      </c>
    </row>
    <row r="6" spans="1:3">
      <c r="A6" s="69">
        <v>45474</v>
      </c>
      <c r="B6" s="64">
        <v>2426</v>
      </c>
      <c r="C6" s="64">
        <f t="shared" si="0"/>
        <v>2429.5</v>
      </c>
    </row>
    <row r="7" spans="1:3">
      <c r="A7" s="68">
        <v>45481</v>
      </c>
      <c r="B7" s="63">
        <v>3155</v>
      </c>
      <c r="C7" s="63">
        <f t="shared" si="0"/>
        <v>2790.5</v>
      </c>
    </row>
    <row r="8" spans="1:3">
      <c r="A8" s="69">
        <v>45488</v>
      </c>
      <c r="B8" s="64">
        <v>2369</v>
      </c>
      <c r="C8" s="64">
        <f t="shared" si="0"/>
        <v>2762</v>
      </c>
    </row>
    <row r="9" spans="1:3">
      <c r="A9" s="68">
        <v>45495</v>
      </c>
      <c r="B9" s="63">
        <v>2281</v>
      </c>
      <c r="C9" s="63">
        <f t="shared" si="0"/>
        <v>2325</v>
      </c>
    </row>
    <row r="10" spans="1:3">
      <c r="A10" s="69">
        <v>45502</v>
      </c>
      <c r="B10" s="64">
        <v>2132</v>
      </c>
      <c r="C10" s="64">
        <f t="shared" si="0"/>
        <v>2206.5</v>
      </c>
    </row>
    <row r="11" spans="1:3">
      <c r="A11" s="68">
        <v>45509</v>
      </c>
      <c r="B11" s="63">
        <v>2693</v>
      </c>
      <c r="C11" s="63">
        <f t="shared" si="0"/>
        <v>2412.5</v>
      </c>
    </row>
    <row r="12" spans="1:3">
      <c r="A12" s="69">
        <v>45516</v>
      </c>
      <c r="B12" s="64">
        <v>3072</v>
      </c>
      <c r="C12" s="64">
        <f t="shared" si="0"/>
        <v>2882.5</v>
      </c>
    </row>
    <row r="13" spans="1:3">
      <c r="A13" s="68">
        <v>45523</v>
      </c>
      <c r="B13" s="63">
        <v>2300</v>
      </c>
      <c r="C13" s="63">
        <f t="shared" si="0"/>
        <v>2686</v>
      </c>
    </row>
    <row r="14" spans="1:3">
      <c r="A14" s="69">
        <v>45530</v>
      </c>
      <c r="B14" s="64">
        <v>2450</v>
      </c>
      <c r="C14" s="64">
        <f t="shared" si="0"/>
        <v>2375</v>
      </c>
    </row>
    <row r="15" spans="1:3">
      <c r="A15" s="68">
        <v>45537</v>
      </c>
      <c r="B15" s="63">
        <v>2502</v>
      </c>
      <c r="C15" s="63">
        <f t="shared" si="0"/>
        <v>2476</v>
      </c>
    </row>
    <row r="16" spans="1:3">
      <c r="A16" s="69">
        <v>45544</v>
      </c>
      <c r="B16" s="64">
        <v>2630</v>
      </c>
      <c r="C16" s="64">
        <f t="shared" si="0"/>
        <v>2566</v>
      </c>
    </row>
    <row r="17" spans="1:3">
      <c r="A17" s="68">
        <v>45551</v>
      </c>
      <c r="B17" s="63">
        <v>2162</v>
      </c>
      <c r="C17" s="63">
        <f t="shared" si="0"/>
        <v>2396</v>
      </c>
    </row>
    <row r="18" spans="1:3">
      <c r="A18" s="69">
        <v>45558</v>
      </c>
      <c r="B18" s="64">
        <v>2785</v>
      </c>
      <c r="C18" s="64">
        <f t="shared" si="0"/>
        <v>2473.5</v>
      </c>
    </row>
    <row r="19" spans="1:3">
      <c r="A19" s="68">
        <v>45565</v>
      </c>
      <c r="B19" s="63">
        <v>3151</v>
      </c>
      <c r="C19" s="63">
        <f t="shared" si="0"/>
        <v>2968</v>
      </c>
    </row>
    <row r="20" spans="1:3">
      <c r="A20" s="69">
        <v>45572</v>
      </c>
      <c r="B20" s="64">
        <v>2338</v>
      </c>
      <c r="C20" s="64">
        <f t="shared" si="0"/>
        <v>2744.5</v>
      </c>
    </row>
    <row r="21" spans="1:3">
      <c r="A21" s="68">
        <v>45579</v>
      </c>
      <c r="B21" s="63">
        <v>2670</v>
      </c>
      <c r="C21" s="63">
        <f t="shared" si="0"/>
        <v>2504</v>
      </c>
    </row>
    <row r="22" spans="1:3">
      <c r="A22" s="69">
        <v>45586</v>
      </c>
      <c r="B22" s="64">
        <v>2792</v>
      </c>
      <c r="C22" s="64">
        <f t="shared" si="0"/>
        <v>2731</v>
      </c>
    </row>
    <row r="23" spans="1:3">
      <c r="A23" s="68">
        <v>45593</v>
      </c>
      <c r="B23" s="63">
        <v>2181</v>
      </c>
      <c r="C23" s="63">
        <f t="shared" si="0"/>
        <v>2486.5</v>
      </c>
    </row>
    <row r="24" spans="1:3">
      <c r="A24" s="69">
        <v>45600</v>
      </c>
      <c r="B24" s="64">
        <v>3576</v>
      </c>
      <c r="C24" s="64">
        <f t="shared" si="0"/>
        <v>2878.5</v>
      </c>
    </row>
    <row r="25" spans="1:3">
      <c r="A25" s="68">
        <v>45607</v>
      </c>
      <c r="B25" s="63">
        <v>2794</v>
      </c>
      <c r="C25" s="63">
        <f t="shared" si="0"/>
        <v>3185</v>
      </c>
    </row>
    <row r="26" spans="1:3">
      <c r="A26" s="69">
        <v>45614</v>
      </c>
      <c r="B26" s="64">
        <v>1935</v>
      </c>
      <c r="C26" s="64">
        <f t="shared" si="0"/>
        <v>2364.5</v>
      </c>
    </row>
    <row r="27" spans="1:3">
      <c r="A27" s="68">
        <v>45621</v>
      </c>
      <c r="B27" s="63">
        <v>2287</v>
      </c>
      <c r="C27" s="63">
        <f t="shared" si="0"/>
        <v>2111</v>
      </c>
    </row>
    <row r="28" spans="1:3">
      <c r="A28" s="69">
        <v>45628</v>
      </c>
      <c r="B28" s="64">
        <v>2383</v>
      </c>
      <c r="C28" s="64">
        <f t="shared" si="0"/>
        <v>2335</v>
      </c>
    </row>
    <row r="29" spans="1:3">
      <c r="A29" s="68">
        <v>45635</v>
      </c>
      <c r="B29" s="63">
        <v>1398</v>
      </c>
      <c r="C29" s="63">
        <f t="shared" si="0"/>
        <v>1890.5</v>
      </c>
    </row>
    <row r="30" spans="1:3">
      <c r="A30" s="69">
        <v>45642</v>
      </c>
      <c r="B30" s="64">
        <v>2693</v>
      </c>
      <c r="C30" s="64">
        <f t="shared" si="0"/>
        <v>2045.5</v>
      </c>
    </row>
    <row r="31" spans="1:3">
      <c r="A31" s="68">
        <v>45649</v>
      </c>
      <c r="B31" s="63">
        <v>2550</v>
      </c>
      <c r="C31" s="63">
        <f t="shared" si="0"/>
        <v>2621.5</v>
      </c>
    </row>
    <row r="32" spans="1:3">
      <c r="A32" s="69">
        <v>45656</v>
      </c>
      <c r="B32" s="64">
        <v>2337</v>
      </c>
      <c r="C32" s="64">
        <f t="shared" si="0"/>
        <v>2443.5</v>
      </c>
    </row>
    <row r="33" spans="1:3">
      <c r="A33" s="68">
        <v>45663</v>
      </c>
      <c r="B33" s="63">
        <v>2451</v>
      </c>
      <c r="C33" s="63">
        <f t="shared" si="0"/>
        <v>2394</v>
      </c>
    </row>
    <row r="34" spans="1:3">
      <c r="A34" s="69">
        <v>45670</v>
      </c>
      <c r="B34" s="64">
        <v>2341</v>
      </c>
      <c r="C34" s="64">
        <f t="shared" si="0"/>
        <v>2396</v>
      </c>
    </row>
    <row r="35" spans="1:3">
      <c r="A35" s="68">
        <v>45677</v>
      </c>
      <c r="B35" s="63">
        <v>1832</v>
      </c>
      <c r="C35" s="63">
        <f t="shared" si="0"/>
        <v>2086.5</v>
      </c>
    </row>
    <row r="36" spans="1:3">
      <c r="A36" s="69">
        <v>45684</v>
      </c>
      <c r="B36" s="64">
        <v>1928</v>
      </c>
      <c r="C36" s="64">
        <f t="shared" si="0"/>
        <v>1880</v>
      </c>
    </row>
    <row r="37" spans="1:3">
      <c r="A37" s="68">
        <v>45691</v>
      </c>
      <c r="B37" s="63">
        <v>1680</v>
      </c>
      <c r="C37" s="63">
        <f t="shared" si="0"/>
        <v>1804</v>
      </c>
    </row>
    <row r="38" spans="1:3">
      <c r="A38" s="69">
        <v>45698</v>
      </c>
      <c r="B38" s="64">
        <v>2361</v>
      </c>
      <c r="C38" s="64">
        <f t="shared" si="0"/>
        <v>2020.5</v>
      </c>
    </row>
    <row r="39" spans="1:3">
      <c r="A39" s="68">
        <v>45705</v>
      </c>
      <c r="B39" s="63">
        <v>1543</v>
      </c>
      <c r="C39" s="63">
        <f t="shared" si="0"/>
        <v>1952</v>
      </c>
    </row>
    <row r="40" spans="1:3">
      <c r="A40" s="69">
        <v>45712</v>
      </c>
      <c r="B40" s="64">
        <v>1713</v>
      </c>
      <c r="C40" s="64">
        <f t="shared" si="0"/>
        <v>1628</v>
      </c>
    </row>
    <row r="41" spans="1:3">
      <c r="A41" s="68">
        <v>45719</v>
      </c>
      <c r="B41" s="63">
        <v>2763</v>
      </c>
      <c r="C41" s="63">
        <f t="shared" si="0"/>
        <v>2238</v>
      </c>
    </row>
    <row r="42" spans="1:3">
      <c r="A42" s="69">
        <v>45726</v>
      </c>
      <c r="B42" s="64">
        <v>2315</v>
      </c>
      <c r="C42" s="64">
        <f t="shared" si="0"/>
        <v>2539</v>
      </c>
    </row>
    <row r="43" spans="1:3">
      <c r="A43" s="68">
        <v>45733</v>
      </c>
      <c r="B43" s="63">
        <v>2188</v>
      </c>
      <c r="C43" s="63">
        <f t="shared" si="0"/>
        <v>2251.5</v>
      </c>
    </row>
    <row r="44" spans="1:3">
      <c r="A44" s="69">
        <v>45740</v>
      </c>
      <c r="B44" s="64">
        <v>2679</v>
      </c>
      <c r="C44" s="64">
        <f t="shared" si="0"/>
        <v>2433.5</v>
      </c>
    </row>
    <row r="45" spans="1:3">
      <c r="A45" s="68">
        <v>45747</v>
      </c>
      <c r="B45" s="63">
        <v>2781</v>
      </c>
      <c r="C45" s="63">
        <f t="shared" si="0"/>
        <v>2730</v>
      </c>
    </row>
    <row r="46" spans="1:3">
      <c r="A46" s="69">
        <v>45754</v>
      </c>
      <c r="B46" s="64">
        <v>3291</v>
      </c>
      <c r="C46" s="64">
        <f t="shared" si="0"/>
        <v>3036</v>
      </c>
    </row>
    <row r="47" spans="1:3">
      <c r="A47" s="68">
        <v>45761</v>
      </c>
      <c r="B47" s="63">
        <v>3216</v>
      </c>
      <c r="C47" s="63">
        <f t="shared" si="0"/>
        <v>3253.5</v>
      </c>
    </row>
    <row r="48" spans="1:3">
      <c r="A48" s="69">
        <v>45768</v>
      </c>
      <c r="B48" s="64">
        <v>1728</v>
      </c>
      <c r="C48" s="64">
        <f t="shared" si="0"/>
        <v>2472</v>
      </c>
    </row>
    <row r="49" spans="1:3">
      <c r="A49" s="68">
        <v>45775</v>
      </c>
      <c r="B49" s="63">
        <v>2378</v>
      </c>
      <c r="C49" s="63">
        <f t="shared" si="0"/>
        <v>2053</v>
      </c>
    </row>
    <row r="50" spans="1:3">
      <c r="A50" s="69">
        <v>45782</v>
      </c>
      <c r="B50" s="64">
        <v>2054</v>
      </c>
      <c r="C50" s="64">
        <f t="shared" si="0"/>
        <v>2216</v>
      </c>
    </row>
    <row r="51" spans="1:3">
      <c r="A51" s="68">
        <v>45789</v>
      </c>
      <c r="B51" s="63">
        <v>1400</v>
      </c>
      <c r="C51" s="63">
        <f t="shared" si="0"/>
        <v>1727</v>
      </c>
    </row>
    <row r="52" spans="1:3">
      <c r="A52" s="69">
        <v>45796</v>
      </c>
      <c r="B52" s="64">
        <v>3569</v>
      </c>
      <c r="C52" s="64">
        <f t="shared" si="0"/>
        <v>2484.5</v>
      </c>
    </row>
    <row r="53" spans="1:3">
      <c r="A53" s="68">
        <v>45803</v>
      </c>
      <c r="B53" s="63">
        <v>2909</v>
      </c>
      <c r="C53" s="63">
        <f t="shared" si="0"/>
        <v>3239</v>
      </c>
    </row>
    <row r="54" spans="1:3">
      <c r="A54" s="69">
        <v>45810</v>
      </c>
      <c r="B54" s="64">
        <v>2049</v>
      </c>
      <c r="C54" s="64">
        <f t="shared" si="0"/>
        <v>2479</v>
      </c>
    </row>
    <row r="55" spans="1:3">
      <c r="A55" s="68">
        <v>45817</v>
      </c>
      <c r="B55" s="63">
        <v>2243</v>
      </c>
      <c r="C55" s="63">
        <f t="shared" si="0"/>
        <v>2146</v>
      </c>
    </row>
    <row r="56" spans="1:3">
      <c r="A56" s="69">
        <v>45824</v>
      </c>
      <c r="B56" s="64">
        <v>2017</v>
      </c>
      <c r="C56" s="64">
        <f t="shared" si="0"/>
        <v>2130</v>
      </c>
    </row>
    <row r="57" spans="1:3">
      <c r="A57" s="68">
        <v>45831</v>
      </c>
      <c r="B57" s="63">
        <v>1384</v>
      </c>
      <c r="C57" s="63">
        <f t="shared" si="0"/>
        <v>1700.5</v>
      </c>
    </row>
    <row r="58" spans="1:3">
      <c r="A58" s="69">
        <v>45838</v>
      </c>
      <c r="B58" s="64">
        <v>2315</v>
      </c>
      <c r="C58" s="64">
        <f t="shared" si="0"/>
        <v>1849.5</v>
      </c>
    </row>
    <row r="59" spans="1:3">
      <c r="A59" s="68">
        <v>45845</v>
      </c>
      <c r="B59" s="63">
        <v>2669</v>
      </c>
      <c r="C59" s="63">
        <f t="shared" si="0"/>
        <v>2492</v>
      </c>
    </row>
    <row r="60" spans="1:3">
      <c r="A60" s="69">
        <v>45852</v>
      </c>
      <c r="B60" s="64">
        <v>2654</v>
      </c>
      <c r="C60" s="64">
        <f t="shared" si="0"/>
        <v>2661.5</v>
      </c>
    </row>
    <row r="61" spans="1:3">
      <c r="A61" s="68">
        <v>45859</v>
      </c>
      <c r="B61" s="63">
        <v>2694</v>
      </c>
      <c r="C61" s="63">
        <f t="shared" si="0"/>
        <v>2674</v>
      </c>
    </row>
    <row r="62" spans="1:3">
      <c r="A62" s="69">
        <v>45866</v>
      </c>
      <c r="B62" s="64">
        <v>3236</v>
      </c>
      <c r="C62" s="64">
        <f t="shared" si="0"/>
        <v>2965</v>
      </c>
    </row>
    <row r="63" spans="1:3">
      <c r="A63" s="68">
        <v>45873</v>
      </c>
      <c r="B63" s="63">
        <v>1689</v>
      </c>
      <c r="C63" s="63">
        <f t="shared" si="0"/>
        <v>2462.5</v>
      </c>
    </row>
    <row r="64" spans="1:3">
      <c r="A64" s="69">
        <v>45880</v>
      </c>
      <c r="B64" s="64">
        <v>2347</v>
      </c>
      <c r="C64" s="64">
        <f t="shared" si="0"/>
        <v>2018</v>
      </c>
    </row>
    <row r="65" spans="1:3">
      <c r="A65" s="68">
        <v>45887</v>
      </c>
      <c r="B65" s="63">
        <v>1819</v>
      </c>
      <c r="C65" s="63">
        <f t="shared" si="0"/>
        <v>2083</v>
      </c>
    </row>
    <row r="66" spans="1:3">
      <c r="A66" s="69">
        <v>45894</v>
      </c>
      <c r="B66" s="64">
        <v>2646</v>
      </c>
      <c r="C66" s="64">
        <f t="shared" si="0"/>
        <v>2232.5</v>
      </c>
    </row>
    <row r="67" spans="1:3">
      <c r="A67" s="68">
        <v>45901</v>
      </c>
      <c r="B67" s="63">
        <v>1424</v>
      </c>
      <c r="C67" s="63">
        <f t="shared" si="0"/>
        <v>2035</v>
      </c>
    </row>
    <row r="68" spans="1:3">
      <c r="A68" s="69">
        <v>45908</v>
      </c>
      <c r="B68" s="64">
        <v>1436</v>
      </c>
      <c r="C68" s="64">
        <f t="shared" ref="C68" si="1">AVERAGE(B67:B68)</f>
        <v>1430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6D20E-1E1F-49B4-9649-0F38FE9B11A0}">
  <dimension ref="C12:K27"/>
  <sheetViews>
    <sheetView tabSelected="1" zoomScale="85" zoomScaleNormal="85" workbookViewId="0">
      <selection activeCell="I22" sqref="I22"/>
    </sheetView>
  </sheetViews>
  <sheetFormatPr defaultRowHeight="14.4"/>
  <cols>
    <col min="1" max="2" width="8.88671875" style="14"/>
    <col min="3" max="3" width="31.44140625" style="14" bestFit="1" customWidth="1"/>
    <col min="4" max="4" width="12.88671875" style="14" bestFit="1" customWidth="1"/>
    <col min="5" max="10" width="8.88671875" style="14"/>
    <col min="11" max="11" width="48.33203125" style="14" bestFit="1" customWidth="1"/>
    <col min="12" max="15" width="8.88671875" style="14"/>
    <col min="16" max="16" width="47" style="14" customWidth="1"/>
    <col min="17" max="16384" width="8.88671875" style="14"/>
  </cols>
  <sheetData>
    <row r="12" spans="11:11">
      <c r="K12" s="88" t="s">
        <v>355</v>
      </c>
    </row>
    <row r="13" spans="11:11">
      <c r="K13" s="85">
        <v>-1.6915989818837338E-2</v>
      </c>
    </row>
    <row r="26" spans="3:4">
      <c r="C26" s="86" t="s">
        <v>352</v>
      </c>
      <c r="D26" s="87" t="s">
        <v>353</v>
      </c>
    </row>
    <row r="27" spans="3:4">
      <c r="C27" s="83">
        <v>45600</v>
      </c>
      <c r="D27" s="84">
        <v>3576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Posts</vt:lpstr>
      <vt:lpstr>Engagement Summary</vt:lpstr>
      <vt:lpstr>Week_Follower_Gain</vt:lpstr>
      <vt:lpstr>Moving_Average</vt:lpstr>
      <vt:lpstr>Task 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Sujal Agrahari</dc:creator>
  <cp:lastModifiedBy>Sujal Agrahari</cp:lastModifiedBy>
  <dcterms:created xsi:type="dcterms:W3CDTF">2026-02-18T01:20:17Z</dcterms:created>
  <dcterms:modified xsi:type="dcterms:W3CDTF">2026-07-26T18:29:53Z</dcterms:modified>
</cp:coreProperties>
</file>